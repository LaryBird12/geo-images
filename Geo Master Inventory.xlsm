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slicers/slicer1.xml" ContentType="application/vnd.ms-excel.slicer+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trlProps/ctrlProp3.xml" ContentType="application/vnd.ms-excel.controlproperties+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slicers/slicer2.xml" ContentType="application/vnd.ms-excel.slicer+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tables/table4.xml" ContentType="application/vnd.openxmlformats-officedocument.spreadsheetml.table+xml"/>
  <Override PartName="/xl/queryTables/queryTable2.xml" ContentType="application/vnd.openxmlformats-officedocument.spreadsheetml.queryTable+xml"/>
  <Override PartName="/xl/slicers/slicer3.xml" ContentType="application/vnd.ms-excel.slicer+xml"/>
  <Override PartName="/xl/drawings/drawing4.xml" ContentType="application/vnd.openxmlformats-officedocument.drawing+xml"/>
  <Override PartName="/xl/ctrlProps/ctrlProp4.xml" ContentType="application/vnd.ms-excel.controlproperties+xml"/>
  <Override PartName="/xl/tables/table5.xml" ContentType="application/vnd.openxmlformats-officedocument.spreadsheetml.table+xml"/>
  <Override PartName="/xl/queryTables/queryTable3.xml" ContentType="application/vnd.openxmlformats-officedocument.spreadsheetml.queryTable+xml"/>
  <Override PartName="/xl/slicers/slicer4.xml" ContentType="application/vnd.ms-excel.slicer+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026" codeName="{28389E77-7640-9E18-AD5C-E98E2F4A8B83}"/>
  <workbookPr codeName="ThisWorkbook"/>
  <mc:AlternateContent xmlns:mc="http://schemas.openxmlformats.org/markup-compatibility/2006">
    <mc:Choice Requires="x15">
      <x15ac:absPath xmlns:x15ac="http://schemas.microsoft.com/office/spreadsheetml/2010/11/ac" url="C:\Mac\Home\Desktop\Geotherm_Inventory_App\"/>
    </mc:Choice>
  </mc:AlternateContent>
  <xr:revisionPtr revIDLastSave="0" documentId="13_ncr:1_{078181F0-6AF7-4A42-B7CA-AC21C33D3B39}" xr6:coauthVersionLast="47" xr6:coauthVersionMax="47" xr10:uidLastSave="{00000000-0000-0000-0000-000000000000}"/>
  <bookViews>
    <workbookView xWindow="-98" yWindow="-98" windowWidth="22875" windowHeight="13711" activeTab="3" xr2:uid="{00000000-000D-0000-FFFF-FFFF00000000}"/>
  </bookViews>
  <sheets>
    <sheet name="MASTER INVENTORY" sheetId="5" r:id="rId1"/>
    <sheet name="GEO Trailer Restock" sheetId="11" r:id="rId2"/>
    <sheet name="PIC" sheetId="13" r:id="rId3"/>
    <sheet name="Table_Trailer_Restock_JSON" sheetId="14" r:id="rId4"/>
  </sheets>
  <definedNames>
    <definedName name="_xleta.CONCAT" hidden="1" xlm="1">#NAME?</definedName>
    <definedName name="ExternalData_1" localSheetId="1" hidden="1">'GEO Trailer Restock'!$A$11:$L$270</definedName>
    <definedName name="ExternalData_1" localSheetId="2" hidden="1">PIC!$A$11:$G$342</definedName>
    <definedName name="ExternalData_2" localSheetId="3" hidden="1">Table_Trailer_Restock_JSON!$A$2:$T$332</definedName>
    <definedName name="Slicer_Case_Stock">#N/A</definedName>
    <definedName name="Slicer_Category_11">#N/A</definedName>
    <definedName name="Slicer_Category_21">#N/A</definedName>
    <definedName name="Slicer_Category_3">#N/A</definedName>
    <definedName name="Slicer_Has_Image">#N/A</definedName>
    <definedName name="Slicer_Is_Active_Inventory_Item">#N/A</definedName>
    <definedName name="Slicer_Is_Case_Stock1">#N/A</definedName>
    <definedName name="Slicer_Is_Ductwork1">#N/A</definedName>
    <definedName name="Slicer_Is_GIM1">#N/A</definedName>
    <definedName name="Slicer_Is_On_Trailer">#N/A</definedName>
    <definedName name="Slicer_Is_Trailer_Stock1">#N/A</definedName>
    <definedName name="Slicer_Is_Unit_Starting_Ductwork1">#N/A</definedName>
    <definedName name="Slicer_Is_Warehouse1">#N/A</definedName>
    <definedName name="Slicer_Slicer">#N/A</definedName>
    <definedName name="Slicer_Trailer_Stock">#N/A</definedName>
  </definedNames>
  <calcPr calcId="191028"/>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5"/>
        <x14:slicerCache r:id="rId6"/>
        <x14:slicerCache r:id="rId7"/>
        <x14:slicerCache r:id="rId8"/>
        <x14:slicerCache r:id="rId9"/>
        <x14:slicerCache r:id="rId10"/>
        <x14:slicerCache r:id="rId11"/>
        <x14:slicerCache r:id="rId12"/>
        <x14:slicerCache r:id="rId13"/>
        <x14:slicerCache r:id="rId14"/>
        <x14:slicerCache r:id="rId15"/>
        <x14:slicerCache r:id="rId16"/>
        <x14:slicerCache r:id="rId17"/>
        <x14:slicerCache r:id="rId18"/>
        <x14:slicerCache r:id="rId19"/>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V3" i="14" l="1"/>
  <c r="V4" i="14"/>
  <c r="V5" i="14"/>
  <c r="V6" i="14"/>
  <c r="V7" i="14"/>
  <c r="V8" i="14"/>
  <c r="V9" i="14"/>
  <c r="V10" i="14"/>
  <c r="V11" i="14"/>
  <c r="V12" i="14"/>
  <c r="V13" i="14"/>
  <c r="V14" i="14"/>
  <c r="V15" i="14"/>
  <c r="V16" i="14"/>
  <c r="V17" i="14"/>
  <c r="V18" i="14"/>
  <c r="V19" i="14"/>
  <c r="V20" i="14"/>
  <c r="V21" i="14"/>
  <c r="V22" i="14"/>
  <c r="V23" i="14"/>
  <c r="V24" i="14"/>
  <c r="V25" i="14"/>
  <c r="V26" i="14"/>
  <c r="V27" i="14"/>
  <c r="V28" i="14"/>
  <c r="V29" i="14"/>
  <c r="V30" i="14"/>
  <c r="V31" i="14"/>
  <c r="V32" i="14"/>
  <c r="V33" i="14"/>
  <c r="V34" i="14"/>
  <c r="V35" i="14"/>
  <c r="V36" i="14"/>
  <c r="V37" i="14"/>
  <c r="V38" i="14"/>
  <c r="V39" i="14"/>
  <c r="V40" i="14"/>
  <c r="V41" i="14"/>
  <c r="V42" i="14"/>
  <c r="V43" i="14"/>
  <c r="V44" i="14"/>
  <c r="V45" i="14"/>
  <c r="V46" i="14"/>
  <c r="V47" i="14"/>
  <c r="V48" i="14"/>
  <c r="V49" i="14"/>
  <c r="V50" i="14"/>
  <c r="V51" i="14"/>
  <c r="V52" i="14"/>
  <c r="V53" i="14"/>
  <c r="V54" i="14"/>
  <c r="V55" i="14"/>
  <c r="V56" i="14"/>
  <c r="V57" i="14"/>
  <c r="V58" i="14"/>
  <c r="V59" i="14"/>
  <c r="V60" i="14"/>
  <c r="V61" i="14"/>
  <c r="V62" i="14"/>
  <c r="V63" i="14"/>
  <c r="V64" i="14"/>
  <c r="V65" i="14"/>
  <c r="V66" i="14"/>
  <c r="V67" i="14"/>
  <c r="V68" i="14"/>
  <c r="V69" i="14"/>
  <c r="V70" i="14"/>
  <c r="V71" i="14"/>
  <c r="V72" i="14"/>
  <c r="V73" i="14"/>
  <c r="V74" i="14"/>
  <c r="V75" i="14"/>
  <c r="V76" i="14"/>
  <c r="V77" i="14"/>
  <c r="V78" i="14"/>
  <c r="V79" i="14"/>
  <c r="V80" i="14"/>
  <c r="V81" i="14"/>
  <c r="V82" i="14"/>
  <c r="V83" i="14"/>
  <c r="V84" i="14"/>
  <c r="V85" i="14"/>
  <c r="V86" i="14"/>
  <c r="V87" i="14"/>
  <c r="V88" i="14"/>
  <c r="V89" i="14"/>
  <c r="V90" i="14"/>
  <c r="V91" i="14"/>
  <c r="V92" i="14"/>
  <c r="V93" i="14"/>
  <c r="V94" i="14"/>
  <c r="V95" i="14"/>
  <c r="V96" i="14"/>
  <c r="V97" i="14"/>
  <c r="V98" i="14"/>
  <c r="V99" i="14"/>
  <c r="V100" i="14"/>
  <c r="V101" i="14"/>
  <c r="V102" i="14"/>
  <c r="V103" i="14"/>
  <c r="V104" i="14"/>
  <c r="V105" i="14"/>
  <c r="V106" i="14"/>
  <c r="V107" i="14"/>
  <c r="V108" i="14"/>
  <c r="V109" i="14"/>
  <c r="V110" i="14"/>
  <c r="V111" i="14"/>
  <c r="V112" i="14"/>
  <c r="V113" i="14"/>
  <c r="V114" i="14"/>
  <c r="V115" i="14"/>
  <c r="V116" i="14"/>
  <c r="V117" i="14"/>
  <c r="V118" i="14"/>
  <c r="V119" i="14"/>
  <c r="V120" i="14"/>
  <c r="V121" i="14"/>
  <c r="V122" i="14"/>
  <c r="V123" i="14"/>
  <c r="V124" i="14"/>
  <c r="V125" i="14"/>
  <c r="V126" i="14"/>
  <c r="V127" i="14"/>
  <c r="V128" i="14"/>
  <c r="V129" i="14"/>
  <c r="V130" i="14"/>
  <c r="V131" i="14"/>
  <c r="V132" i="14"/>
  <c r="V133" i="14"/>
  <c r="V134" i="14"/>
  <c r="V135" i="14"/>
  <c r="V136" i="14"/>
  <c r="V137" i="14"/>
  <c r="V138" i="14"/>
  <c r="V139" i="14"/>
  <c r="V140" i="14"/>
  <c r="V141" i="14"/>
  <c r="V142" i="14"/>
  <c r="V143" i="14"/>
  <c r="V144" i="14"/>
  <c r="V145" i="14"/>
  <c r="V146" i="14"/>
  <c r="V147" i="14"/>
  <c r="V148" i="14"/>
  <c r="V149" i="14"/>
  <c r="V150" i="14"/>
  <c r="V151" i="14"/>
  <c r="V152" i="14"/>
  <c r="V153" i="14"/>
  <c r="V154" i="14"/>
  <c r="V155" i="14"/>
  <c r="V156" i="14"/>
  <c r="V157" i="14"/>
  <c r="V158" i="14"/>
  <c r="V159" i="14"/>
  <c r="V160" i="14"/>
  <c r="V161" i="14"/>
  <c r="V162" i="14"/>
  <c r="V163" i="14"/>
  <c r="V164" i="14"/>
  <c r="V165" i="14"/>
  <c r="V166" i="14"/>
  <c r="V167" i="14"/>
  <c r="V168" i="14"/>
  <c r="V169" i="14"/>
  <c r="V170" i="14"/>
  <c r="V171" i="14"/>
  <c r="V172" i="14"/>
  <c r="V173" i="14"/>
  <c r="V174" i="14"/>
  <c r="V175" i="14"/>
  <c r="V176" i="14"/>
  <c r="V177" i="14"/>
  <c r="V178" i="14"/>
  <c r="V179" i="14"/>
  <c r="V180" i="14"/>
  <c r="V181" i="14"/>
  <c r="V182" i="14"/>
  <c r="V183" i="14"/>
  <c r="V184" i="14"/>
  <c r="V185" i="14"/>
  <c r="V186" i="14"/>
  <c r="V187" i="14"/>
  <c r="V188" i="14"/>
  <c r="V189" i="14"/>
  <c r="V190" i="14"/>
  <c r="V191" i="14"/>
  <c r="V192" i="14"/>
  <c r="V193" i="14"/>
  <c r="V194" i="14"/>
  <c r="V195" i="14"/>
  <c r="V196" i="14"/>
  <c r="V197" i="14"/>
  <c r="V198" i="14"/>
  <c r="V199" i="14"/>
  <c r="V200" i="14"/>
  <c r="V201" i="14"/>
  <c r="V202" i="14"/>
  <c r="V203" i="14"/>
  <c r="V204" i="14"/>
  <c r="V205" i="14"/>
  <c r="V206" i="14"/>
  <c r="V207" i="14"/>
  <c r="V208" i="14"/>
  <c r="V209" i="14"/>
  <c r="V210" i="14"/>
  <c r="V211" i="14"/>
  <c r="V212" i="14"/>
  <c r="V213" i="14"/>
  <c r="V214" i="14"/>
  <c r="V215" i="14"/>
  <c r="V216" i="14"/>
  <c r="V217" i="14"/>
  <c r="V218" i="14"/>
  <c r="V219" i="14"/>
  <c r="V220" i="14"/>
  <c r="V221" i="14"/>
  <c r="V222" i="14"/>
  <c r="V223" i="14"/>
  <c r="V224" i="14"/>
  <c r="V225" i="14"/>
  <c r="V226" i="14"/>
  <c r="V227" i="14"/>
  <c r="V228" i="14"/>
  <c r="V229" i="14"/>
  <c r="V230" i="14"/>
  <c r="V231" i="14"/>
  <c r="V232" i="14"/>
  <c r="V233" i="14"/>
  <c r="V234" i="14"/>
  <c r="V235" i="14"/>
  <c r="V236" i="14"/>
  <c r="V237" i="14"/>
  <c r="V238" i="14"/>
  <c r="V239" i="14"/>
  <c r="V240" i="14"/>
  <c r="V241" i="14"/>
  <c r="V242" i="14"/>
  <c r="V243" i="14"/>
  <c r="V244" i="14"/>
  <c r="V245" i="14"/>
  <c r="V246" i="14"/>
  <c r="V247" i="14"/>
  <c r="V248" i="14"/>
  <c r="V249" i="14"/>
  <c r="V250" i="14"/>
  <c r="V251" i="14"/>
  <c r="V252" i="14"/>
  <c r="V253" i="14"/>
  <c r="V254" i="14"/>
  <c r="V255" i="14"/>
  <c r="V256" i="14"/>
  <c r="V257" i="14"/>
  <c r="V258" i="14"/>
  <c r="V259" i="14"/>
  <c r="V260" i="14"/>
  <c r="V261" i="14"/>
  <c r="V262" i="14"/>
  <c r="V263" i="14"/>
  <c r="V264" i="14"/>
  <c r="V265" i="14"/>
  <c r="V266" i="14"/>
  <c r="V267" i="14"/>
  <c r="V268" i="14"/>
  <c r="V269" i="14"/>
  <c r="V270" i="14"/>
  <c r="V271" i="14"/>
  <c r="V272" i="14"/>
  <c r="V273" i="14"/>
  <c r="V274" i="14"/>
  <c r="V275" i="14"/>
  <c r="V276" i="14"/>
  <c r="V277" i="14"/>
  <c r="V278" i="14"/>
  <c r="V279" i="14"/>
  <c r="V280" i="14"/>
  <c r="V281" i="14"/>
  <c r="V282" i="14"/>
  <c r="V283" i="14"/>
  <c r="V284" i="14"/>
  <c r="V285" i="14"/>
  <c r="V286" i="14"/>
  <c r="V287" i="14"/>
  <c r="V288" i="14"/>
  <c r="V289" i="14"/>
  <c r="V290" i="14"/>
  <c r="V291" i="14"/>
  <c r="V292" i="14"/>
  <c r="V293" i="14"/>
  <c r="V294" i="14"/>
  <c r="V295" i="14"/>
  <c r="V296" i="14"/>
  <c r="V297" i="14"/>
  <c r="V298" i="14"/>
  <c r="V299" i="14"/>
  <c r="V300" i="14"/>
  <c r="V301" i="14"/>
  <c r="V302" i="14"/>
  <c r="V303" i="14"/>
  <c r="V304" i="14"/>
  <c r="V305" i="14"/>
  <c r="V306" i="14"/>
  <c r="V307" i="14"/>
  <c r="V308" i="14"/>
  <c r="V309" i="14"/>
  <c r="V310" i="14"/>
  <c r="V311" i="14"/>
  <c r="V312" i="14"/>
  <c r="V313" i="14"/>
  <c r="V314" i="14"/>
  <c r="V315" i="14"/>
  <c r="V316" i="14"/>
  <c r="V317" i="14"/>
  <c r="V318" i="14"/>
  <c r="V319" i="14"/>
  <c r="V320" i="14"/>
  <c r="V321" i="14"/>
  <c r="V322" i="14"/>
  <c r="V323" i="14"/>
  <c r="V324" i="14"/>
  <c r="V325" i="14"/>
  <c r="V326" i="14"/>
  <c r="V327" i="14"/>
  <c r="V328" i="14"/>
  <c r="V329" i="14"/>
  <c r="V330" i="14"/>
  <c r="V331" i="14"/>
  <c r="V332" i="14"/>
  <c r="R12" i="11"/>
  <c r="R13" i="11"/>
  <c r="R14" i="11"/>
  <c r="T14" i="11" s="1"/>
  <c r="R15" i="11"/>
  <c r="T15" i="11" s="1"/>
  <c r="R16" i="11"/>
  <c r="R17" i="11"/>
  <c r="R18" i="11"/>
  <c r="R19" i="11"/>
  <c r="T19" i="11" s="1"/>
  <c r="R20" i="11"/>
  <c r="R21" i="11"/>
  <c r="R22" i="11"/>
  <c r="R23" i="11"/>
  <c r="T23" i="11" s="1"/>
  <c r="R24" i="11"/>
  <c r="R25" i="11"/>
  <c r="R26" i="11"/>
  <c r="R27" i="11"/>
  <c r="T27" i="11" s="1"/>
  <c r="R28" i="11"/>
  <c r="R29" i="11"/>
  <c r="R30" i="11"/>
  <c r="R31" i="11"/>
  <c r="T31" i="11" s="1"/>
  <c r="R32" i="11"/>
  <c r="R33" i="11"/>
  <c r="R34" i="11"/>
  <c r="R35" i="11"/>
  <c r="T35" i="11" s="1"/>
  <c r="R36" i="11"/>
  <c r="R37" i="11"/>
  <c r="R38" i="11"/>
  <c r="R39" i="11"/>
  <c r="T39" i="11" s="1"/>
  <c r="R40" i="11"/>
  <c r="R41" i="11"/>
  <c r="R42" i="11"/>
  <c r="R43" i="11"/>
  <c r="T43" i="11" s="1"/>
  <c r="R44" i="11"/>
  <c r="R45" i="11"/>
  <c r="R46" i="11"/>
  <c r="R47" i="11"/>
  <c r="T47" i="11" s="1"/>
  <c r="R48" i="11"/>
  <c r="R49" i="11"/>
  <c r="R50" i="11"/>
  <c r="R51" i="11"/>
  <c r="T51" i="11" s="1"/>
  <c r="R52" i="11"/>
  <c r="R53" i="11"/>
  <c r="R54" i="11"/>
  <c r="R55" i="11"/>
  <c r="T55" i="11" s="1"/>
  <c r="R56" i="11"/>
  <c r="R57" i="11"/>
  <c r="R58" i="11"/>
  <c r="R59" i="11"/>
  <c r="T59" i="11" s="1"/>
  <c r="R60" i="11"/>
  <c r="R61" i="11"/>
  <c r="R62" i="11"/>
  <c r="R63" i="11"/>
  <c r="T63" i="11" s="1"/>
  <c r="R64" i="11"/>
  <c r="R65" i="11"/>
  <c r="R66" i="11"/>
  <c r="R67" i="11"/>
  <c r="T67" i="11" s="1"/>
  <c r="R68" i="11"/>
  <c r="R69" i="11"/>
  <c r="R70" i="11"/>
  <c r="R71" i="11"/>
  <c r="T71" i="11" s="1"/>
  <c r="R72" i="11"/>
  <c r="R73" i="11"/>
  <c r="R74" i="11"/>
  <c r="R75" i="11"/>
  <c r="T75" i="11" s="1"/>
  <c r="R76" i="11"/>
  <c r="R77" i="11"/>
  <c r="R78" i="11"/>
  <c r="R79" i="11"/>
  <c r="T79" i="11" s="1"/>
  <c r="R80" i="11"/>
  <c r="R81" i="11"/>
  <c r="R82" i="11"/>
  <c r="R83" i="11"/>
  <c r="T83" i="11" s="1"/>
  <c r="R84" i="11"/>
  <c r="R85" i="11"/>
  <c r="R86" i="11"/>
  <c r="R87" i="11"/>
  <c r="T87" i="11" s="1"/>
  <c r="R88" i="11"/>
  <c r="R89" i="11"/>
  <c r="R90" i="11"/>
  <c r="R91" i="11"/>
  <c r="T91" i="11" s="1"/>
  <c r="R92" i="11"/>
  <c r="R93" i="11"/>
  <c r="R94" i="11"/>
  <c r="R95" i="11"/>
  <c r="T95" i="11" s="1"/>
  <c r="R96" i="11"/>
  <c r="R97" i="11"/>
  <c r="R98" i="11"/>
  <c r="R99" i="11"/>
  <c r="T99" i="11" s="1"/>
  <c r="R100" i="11"/>
  <c r="R101" i="11"/>
  <c r="R102" i="11"/>
  <c r="R103" i="11"/>
  <c r="T103" i="11" s="1"/>
  <c r="R104" i="11"/>
  <c r="R105" i="11"/>
  <c r="R106" i="11"/>
  <c r="R107" i="11"/>
  <c r="T107" i="11" s="1"/>
  <c r="R108" i="11"/>
  <c r="R109" i="11"/>
  <c r="R110" i="11"/>
  <c r="R111" i="11"/>
  <c r="T111" i="11" s="1"/>
  <c r="R112" i="11"/>
  <c r="R113" i="11"/>
  <c r="R114" i="11"/>
  <c r="R115" i="11"/>
  <c r="T115" i="11" s="1"/>
  <c r="R116" i="11"/>
  <c r="R117" i="11"/>
  <c r="R118" i="11"/>
  <c r="R119" i="11"/>
  <c r="T119" i="11" s="1"/>
  <c r="R120" i="11"/>
  <c r="R121" i="11"/>
  <c r="R122" i="11"/>
  <c r="R123" i="11"/>
  <c r="T123" i="11" s="1"/>
  <c r="R124" i="11"/>
  <c r="R125" i="11"/>
  <c r="R126" i="11"/>
  <c r="R127" i="11"/>
  <c r="T127" i="11" s="1"/>
  <c r="R128" i="11"/>
  <c r="R129" i="11"/>
  <c r="R130" i="11"/>
  <c r="R131" i="11"/>
  <c r="T131" i="11" s="1"/>
  <c r="R132" i="11"/>
  <c r="R133" i="11"/>
  <c r="R134" i="11"/>
  <c r="R135" i="11"/>
  <c r="T135" i="11" s="1"/>
  <c r="R136" i="11"/>
  <c r="R137" i="11"/>
  <c r="R138" i="11"/>
  <c r="T138" i="11" s="1"/>
  <c r="R139" i="11"/>
  <c r="T139" i="11" s="1"/>
  <c r="R140" i="11"/>
  <c r="R141" i="11"/>
  <c r="R142" i="11"/>
  <c r="T142" i="11" s="1"/>
  <c r="R143" i="11"/>
  <c r="T143" i="11" s="1"/>
  <c r="R144" i="11"/>
  <c r="R145" i="11"/>
  <c r="R146" i="11"/>
  <c r="R147" i="11"/>
  <c r="T147" i="11" s="1"/>
  <c r="R148" i="11"/>
  <c r="R149" i="11"/>
  <c r="R150" i="11"/>
  <c r="R151" i="11"/>
  <c r="T151" i="11" s="1"/>
  <c r="R152" i="11"/>
  <c r="R153" i="11"/>
  <c r="R154" i="11"/>
  <c r="R155" i="11"/>
  <c r="T155" i="11" s="1"/>
  <c r="R156" i="11"/>
  <c r="R157" i="11"/>
  <c r="R158" i="11"/>
  <c r="R159" i="11"/>
  <c r="T159" i="11" s="1"/>
  <c r="R160" i="11"/>
  <c r="R161" i="11"/>
  <c r="R162" i="11"/>
  <c r="R163" i="11"/>
  <c r="T163" i="11" s="1"/>
  <c r="R164" i="11"/>
  <c r="R165" i="11"/>
  <c r="R166" i="11"/>
  <c r="R167" i="11"/>
  <c r="T167" i="11" s="1"/>
  <c r="R168" i="11"/>
  <c r="R169" i="11"/>
  <c r="R170" i="11"/>
  <c r="R171" i="11"/>
  <c r="T171" i="11" s="1"/>
  <c r="R172" i="11"/>
  <c r="R173" i="11"/>
  <c r="R174" i="11"/>
  <c r="R175" i="11"/>
  <c r="T175" i="11" s="1"/>
  <c r="R176" i="11"/>
  <c r="R177" i="11"/>
  <c r="R178" i="11"/>
  <c r="R179" i="11"/>
  <c r="T179" i="11" s="1"/>
  <c r="R180" i="11"/>
  <c r="R181" i="11"/>
  <c r="R182" i="11"/>
  <c r="R183" i="11"/>
  <c r="T183" i="11" s="1"/>
  <c r="R184" i="11"/>
  <c r="R185" i="11"/>
  <c r="R186" i="11"/>
  <c r="R187" i="11"/>
  <c r="T187" i="11" s="1"/>
  <c r="R188" i="11"/>
  <c r="R189" i="11"/>
  <c r="R190" i="11"/>
  <c r="R191" i="11"/>
  <c r="T191" i="11" s="1"/>
  <c r="R192" i="11"/>
  <c r="R193" i="11"/>
  <c r="R194" i="11"/>
  <c r="R195" i="11"/>
  <c r="T195" i="11" s="1"/>
  <c r="R196" i="11"/>
  <c r="R197" i="11"/>
  <c r="R198" i="11"/>
  <c r="R199" i="11"/>
  <c r="T199" i="11" s="1"/>
  <c r="R200" i="11"/>
  <c r="R201" i="11"/>
  <c r="R202" i="11"/>
  <c r="R203" i="11"/>
  <c r="T203" i="11" s="1"/>
  <c r="R204" i="11"/>
  <c r="R205" i="11"/>
  <c r="R206" i="11"/>
  <c r="R207" i="11"/>
  <c r="T207" i="11" s="1"/>
  <c r="R208" i="11"/>
  <c r="R209" i="11"/>
  <c r="R210" i="11"/>
  <c r="T210" i="11" s="1"/>
  <c r="R211" i="11"/>
  <c r="T211" i="11" s="1"/>
  <c r="R212" i="11"/>
  <c r="R213" i="11"/>
  <c r="R214" i="11"/>
  <c r="R215" i="11"/>
  <c r="T215" i="11" s="1"/>
  <c r="R216" i="11"/>
  <c r="R217" i="11"/>
  <c r="R218" i="11"/>
  <c r="R219" i="11"/>
  <c r="T219" i="11" s="1"/>
  <c r="R220" i="11"/>
  <c r="R221" i="11"/>
  <c r="R222" i="11"/>
  <c r="R223" i="11"/>
  <c r="T223" i="11" s="1"/>
  <c r="R224" i="11"/>
  <c r="R225" i="11"/>
  <c r="R226" i="11"/>
  <c r="R227" i="11"/>
  <c r="T227" i="11" s="1"/>
  <c r="R228" i="11"/>
  <c r="R229" i="11"/>
  <c r="R230" i="11"/>
  <c r="R231" i="11"/>
  <c r="T231" i="11" s="1"/>
  <c r="R232" i="11"/>
  <c r="R233" i="11"/>
  <c r="R234" i="11"/>
  <c r="R235" i="11"/>
  <c r="T235" i="11" s="1"/>
  <c r="R236" i="11"/>
  <c r="R237" i="11"/>
  <c r="R238" i="11"/>
  <c r="R239" i="11"/>
  <c r="T239" i="11" s="1"/>
  <c r="R240" i="11"/>
  <c r="R241" i="11"/>
  <c r="R242" i="11"/>
  <c r="R243" i="11"/>
  <c r="T243" i="11" s="1"/>
  <c r="R244" i="11"/>
  <c r="R245" i="11"/>
  <c r="R246" i="11"/>
  <c r="R247" i="11"/>
  <c r="T247" i="11" s="1"/>
  <c r="R248" i="11"/>
  <c r="R249" i="11"/>
  <c r="R250" i="11"/>
  <c r="R251" i="11"/>
  <c r="T251" i="11" s="1"/>
  <c r="R252" i="11"/>
  <c r="R253" i="11"/>
  <c r="R254" i="11"/>
  <c r="R255" i="11"/>
  <c r="T255" i="11" s="1"/>
  <c r="R256" i="11"/>
  <c r="R257" i="11"/>
  <c r="R258" i="11"/>
  <c r="R259" i="11"/>
  <c r="T259" i="11" s="1"/>
  <c r="R260" i="11"/>
  <c r="R261" i="11"/>
  <c r="R262" i="11"/>
  <c r="R263" i="11"/>
  <c r="T263" i="11" s="1"/>
  <c r="R264" i="11"/>
  <c r="R265" i="11"/>
  <c r="R266" i="11"/>
  <c r="T266" i="11" s="1"/>
  <c r="R267" i="11"/>
  <c r="T267" i="11" s="1"/>
  <c r="R268" i="11"/>
  <c r="R269" i="11"/>
  <c r="R270" i="11"/>
  <c r="T270" i="11" s="1"/>
  <c r="T12" i="11"/>
  <c r="T13" i="11"/>
  <c r="T16" i="11"/>
  <c r="T17" i="11"/>
  <c r="T18" i="11"/>
  <c r="T20" i="11"/>
  <c r="T21" i="11"/>
  <c r="T22" i="11"/>
  <c r="T24" i="11"/>
  <c r="T25" i="11"/>
  <c r="T26" i="11"/>
  <c r="T28" i="11"/>
  <c r="T29" i="11"/>
  <c r="T30" i="11"/>
  <c r="T32" i="11"/>
  <c r="T33" i="11"/>
  <c r="T34" i="11"/>
  <c r="T36" i="11"/>
  <c r="T37" i="11"/>
  <c r="T38" i="11"/>
  <c r="T40" i="11"/>
  <c r="T41" i="11"/>
  <c r="T42" i="11"/>
  <c r="T44" i="11"/>
  <c r="T45" i="11"/>
  <c r="T46" i="11"/>
  <c r="T48" i="11"/>
  <c r="T49" i="11"/>
  <c r="T50" i="11"/>
  <c r="T52" i="11"/>
  <c r="T53" i="11"/>
  <c r="T54" i="11"/>
  <c r="T56" i="11"/>
  <c r="T57" i="11"/>
  <c r="T58" i="11"/>
  <c r="T60" i="11"/>
  <c r="T61" i="11"/>
  <c r="T62" i="11"/>
  <c r="T64" i="11"/>
  <c r="T65" i="11"/>
  <c r="T66" i="11"/>
  <c r="T68" i="11"/>
  <c r="T69" i="11"/>
  <c r="T70" i="11"/>
  <c r="T72" i="11"/>
  <c r="T73" i="11"/>
  <c r="T74" i="11"/>
  <c r="T76" i="11"/>
  <c r="T77" i="11"/>
  <c r="T78" i="11"/>
  <c r="T80" i="11"/>
  <c r="T81" i="11"/>
  <c r="T82" i="11"/>
  <c r="T84" i="11"/>
  <c r="T85" i="11"/>
  <c r="T86" i="11"/>
  <c r="T88" i="11"/>
  <c r="T89" i="11"/>
  <c r="T90" i="11"/>
  <c r="T92" i="11"/>
  <c r="T93" i="11"/>
  <c r="T94" i="11"/>
  <c r="T96" i="11"/>
  <c r="T97" i="11"/>
  <c r="T98" i="11"/>
  <c r="T100" i="11"/>
  <c r="T101" i="11"/>
  <c r="T102" i="11"/>
  <c r="T104" i="11"/>
  <c r="T105" i="11"/>
  <c r="T106" i="11"/>
  <c r="T108" i="11"/>
  <c r="T109" i="11"/>
  <c r="T110" i="11"/>
  <c r="T112" i="11"/>
  <c r="T113" i="11"/>
  <c r="T114" i="11"/>
  <c r="T116" i="11"/>
  <c r="T117" i="11"/>
  <c r="T118" i="11"/>
  <c r="T120" i="11"/>
  <c r="T121" i="11"/>
  <c r="T122" i="11"/>
  <c r="T124" i="11"/>
  <c r="T125" i="11"/>
  <c r="T126" i="11"/>
  <c r="T128" i="11"/>
  <c r="T129" i="11"/>
  <c r="T130" i="11"/>
  <c r="T132" i="11"/>
  <c r="T133" i="11"/>
  <c r="T134" i="11"/>
  <c r="T136" i="11"/>
  <c r="T137" i="11"/>
  <c r="T140" i="11"/>
  <c r="T141" i="11"/>
  <c r="T144" i="11"/>
  <c r="T145" i="11"/>
  <c r="T146" i="11"/>
  <c r="T148" i="11"/>
  <c r="T149" i="11"/>
  <c r="T150" i="11"/>
  <c r="T152" i="11"/>
  <c r="T153" i="11"/>
  <c r="T154" i="11"/>
  <c r="T156" i="11"/>
  <c r="T157" i="11"/>
  <c r="T158" i="11"/>
  <c r="T160" i="11"/>
  <c r="T161" i="11"/>
  <c r="T162" i="11"/>
  <c r="T164" i="11"/>
  <c r="T165" i="11"/>
  <c r="T166" i="11"/>
  <c r="T168" i="11"/>
  <c r="T169" i="11"/>
  <c r="T170" i="11"/>
  <c r="T172" i="11"/>
  <c r="T173" i="11"/>
  <c r="T174" i="11"/>
  <c r="T176" i="11"/>
  <c r="T177" i="11"/>
  <c r="T178" i="11"/>
  <c r="T180" i="11"/>
  <c r="T181" i="11"/>
  <c r="T182" i="11"/>
  <c r="T184" i="11"/>
  <c r="T185" i="11"/>
  <c r="T186" i="11"/>
  <c r="T188" i="11"/>
  <c r="T189" i="11"/>
  <c r="T190" i="11"/>
  <c r="T192" i="11"/>
  <c r="T193" i="11"/>
  <c r="T194" i="11"/>
  <c r="T196" i="11"/>
  <c r="T197" i="11"/>
  <c r="T198" i="11"/>
  <c r="T200" i="11"/>
  <c r="T201" i="11"/>
  <c r="T202" i="11"/>
  <c r="T204" i="11"/>
  <c r="T205" i="11"/>
  <c r="T206" i="11"/>
  <c r="T208" i="11"/>
  <c r="T209" i="11"/>
  <c r="T212" i="11"/>
  <c r="T213" i="11"/>
  <c r="T214" i="11"/>
  <c r="T216" i="11"/>
  <c r="T217" i="11"/>
  <c r="T218" i="11"/>
  <c r="T220" i="11"/>
  <c r="T221" i="11"/>
  <c r="T222" i="11"/>
  <c r="T224" i="11"/>
  <c r="T225" i="11"/>
  <c r="T226" i="11"/>
  <c r="T228" i="11"/>
  <c r="T229" i="11"/>
  <c r="T230" i="11"/>
  <c r="T232" i="11"/>
  <c r="T233" i="11"/>
  <c r="T234" i="11"/>
  <c r="T236" i="11"/>
  <c r="T237" i="11"/>
  <c r="T238" i="11"/>
  <c r="T240" i="11"/>
  <c r="T241" i="11"/>
  <c r="T242" i="11"/>
  <c r="T244" i="11"/>
  <c r="T245" i="11"/>
  <c r="T246" i="11"/>
  <c r="T248" i="11"/>
  <c r="T249" i="11"/>
  <c r="T250" i="11"/>
  <c r="T252" i="11"/>
  <c r="T253" i="11"/>
  <c r="T254" i="11"/>
  <c r="T256" i="11"/>
  <c r="T257" i="11"/>
  <c r="T258" i="11"/>
  <c r="T260" i="11"/>
  <c r="T261" i="11"/>
  <c r="T262" i="11"/>
  <c r="T264" i="11"/>
  <c r="T265" i="11"/>
  <c r="T268" i="11"/>
  <c r="T269" i="11"/>
  <c r="A1" i="14" l="1"/>
  <c r="O12" i="5"/>
  <c r="O13" i="5"/>
  <c r="O14" i="5"/>
  <c r="O15" i="5"/>
  <c r="O16" i="5"/>
  <c r="O17" i="5"/>
  <c r="O18" i="5"/>
  <c r="O19" i="5"/>
  <c r="O20" i="5"/>
  <c r="O21" i="5"/>
  <c r="O22" i="5"/>
  <c r="O23" i="5"/>
  <c r="O24" i="5"/>
  <c r="O25" i="5"/>
  <c r="O26" i="5"/>
  <c r="O27" i="5"/>
  <c r="O28" i="5"/>
  <c r="O29" i="5"/>
  <c r="O30" i="5"/>
  <c r="O31" i="5"/>
  <c r="O32" i="5"/>
  <c r="O33" i="5"/>
  <c r="O34" i="5"/>
  <c r="O35" i="5"/>
  <c r="O36" i="5"/>
  <c r="O37" i="5"/>
  <c r="O38" i="5"/>
  <c r="O39" i="5"/>
  <c r="O40" i="5"/>
  <c r="O41" i="5"/>
  <c r="O42" i="5"/>
  <c r="O43" i="5"/>
  <c r="O44" i="5"/>
  <c r="O45" i="5"/>
  <c r="O46" i="5"/>
  <c r="O47" i="5"/>
  <c r="O48" i="5"/>
  <c r="O49" i="5"/>
  <c r="O50" i="5"/>
  <c r="O51" i="5"/>
  <c r="O52" i="5"/>
  <c r="O53" i="5"/>
  <c r="O54" i="5"/>
  <c r="O55" i="5"/>
  <c r="O56" i="5"/>
  <c r="O57" i="5"/>
  <c r="O58" i="5"/>
  <c r="O59" i="5"/>
  <c r="O60" i="5"/>
  <c r="O61" i="5"/>
  <c r="O62" i="5"/>
  <c r="O63" i="5"/>
  <c r="O64" i="5"/>
  <c r="O65" i="5"/>
  <c r="O66" i="5"/>
  <c r="O67" i="5"/>
  <c r="O68" i="5"/>
  <c r="O69" i="5"/>
  <c r="O70" i="5"/>
  <c r="O71" i="5"/>
  <c r="O72" i="5"/>
  <c r="O73" i="5"/>
  <c r="O74" i="5"/>
  <c r="O75" i="5"/>
  <c r="O76" i="5"/>
  <c r="O77" i="5"/>
  <c r="O78" i="5"/>
  <c r="O79" i="5"/>
  <c r="O80" i="5"/>
  <c r="O81" i="5"/>
  <c r="O82" i="5"/>
  <c r="O83" i="5"/>
  <c r="O84" i="5"/>
  <c r="O85" i="5"/>
  <c r="O86" i="5"/>
  <c r="O87" i="5"/>
  <c r="O88" i="5"/>
  <c r="O89" i="5"/>
  <c r="O90" i="5"/>
  <c r="O91" i="5"/>
  <c r="O92" i="5"/>
  <c r="O93" i="5"/>
  <c r="O94" i="5"/>
  <c r="O95" i="5"/>
  <c r="O96" i="5"/>
  <c r="O97" i="5"/>
  <c r="O98" i="5"/>
  <c r="O99" i="5"/>
  <c r="O100" i="5"/>
  <c r="O101" i="5"/>
  <c r="O102" i="5"/>
  <c r="O103" i="5"/>
  <c r="O104" i="5"/>
  <c r="O105" i="5"/>
  <c r="O106" i="5"/>
  <c r="O107" i="5"/>
  <c r="O108" i="5"/>
  <c r="O109" i="5"/>
  <c r="O110" i="5"/>
  <c r="O111" i="5"/>
  <c r="O112" i="5"/>
  <c r="O113" i="5"/>
  <c r="O114" i="5"/>
  <c r="O115" i="5"/>
  <c r="O116" i="5"/>
  <c r="O117" i="5"/>
  <c r="O118" i="5"/>
  <c r="O119" i="5"/>
  <c r="O120" i="5"/>
  <c r="O121" i="5"/>
  <c r="O122" i="5"/>
  <c r="O123" i="5"/>
  <c r="O124" i="5"/>
  <c r="O125" i="5"/>
  <c r="O126" i="5"/>
  <c r="O127" i="5"/>
  <c r="O128" i="5"/>
  <c r="O129" i="5"/>
  <c r="O130" i="5"/>
  <c r="O131" i="5"/>
  <c r="O132" i="5"/>
  <c r="O133" i="5"/>
  <c r="O134" i="5"/>
  <c r="O135" i="5"/>
  <c r="O136" i="5"/>
  <c r="O137" i="5"/>
  <c r="O138" i="5"/>
  <c r="O139" i="5"/>
  <c r="O140" i="5"/>
  <c r="O141" i="5"/>
  <c r="O142" i="5"/>
  <c r="O143" i="5"/>
  <c r="O144" i="5"/>
  <c r="O145" i="5"/>
  <c r="O146" i="5"/>
  <c r="O147" i="5"/>
  <c r="O148" i="5"/>
  <c r="O149" i="5"/>
  <c r="O150" i="5"/>
  <c r="O151" i="5"/>
  <c r="O152" i="5"/>
  <c r="O153" i="5"/>
  <c r="O154" i="5"/>
  <c r="O155" i="5"/>
  <c r="O156" i="5"/>
  <c r="O157" i="5"/>
  <c r="O158" i="5"/>
  <c r="O159" i="5"/>
  <c r="O160" i="5"/>
  <c r="O161" i="5"/>
  <c r="O162" i="5"/>
  <c r="O163" i="5"/>
  <c r="O164" i="5"/>
  <c r="O165" i="5"/>
  <c r="O166" i="5"/>
  <c r="O167" i="5"/>
  <c r="O168" i="5"/>
  <c r="O169" i="5"/>
  <c r="O170" i="5"/>
  <c r="O171" i="5"/>
  <c r="O172" i="5"/>
  <c r="O173" i="5"/>
  <c r="O174" i="5"/>
  <c r="O175" i="5"/>
  <c r="O176" i="5"/>
  <c r="O177" i="5"/>
  <c r="O178" i="5"/>
  <c r="O179" i="5"/>
  <c r="O180" i="5"/>
  <c r="O181" i="5"/>
  <c r="O182" i="5"/>
  <c r="O183" i="5"/>
  <c r="O184" i="5"/>
  <c r="O185" i="5"/>
  <c r="O186" i="5"/>
  <c r="O187" i="5"/>
  <c r="O188" i="5"/>
  <c r="O189" i="5"/>
  <c r="O190" i="5"/>
  <c r="O191" i="5"/>
  <c r="O192" i="5"/>
  <c r="O193" i="5"/>
  <c r="O194" i="5"/>
  <c r="O195" i="5"/>
  <c r="O196" i="5"/>
  <c r="O197" i="5"/>
  <c r="O198" i="5"/>
  <c r="O199" i="5"/>
  <c r="O200" i="5"/>
  <c r="O201" i="5"/>
  <c r="O202" i="5"/>
  <c r="O203" i="5"/>
  <c r="O204" i="5"/>
  <c r="O205" i="5"/>
  <c r="O206" i="5"/>
  <c r="O207" i="5"/>
  <c r="O208" i="5"/>
  <c r="O209" i="5"/>
  <c r="O210" i="5"/>
  <c r="O211" i="5"/>
  <c r="O212" i="5"/>
  <c r="O213" i="5"/>
  <c r="O214" i="5"/>
  <c r="O215" i="5"/>
  <c r="O216" i="5"/>
  <c r="O217" i="5"/>
  <c r="O218" i="5"/>
  <c r="O219" i="5"/>
  <c r="O220" i="5"/>
  <c r="O221" i="5"/>
  <c r="O222" i="5"/>
  <c r="O223" i="5"/>
  <c r="O224" i="5"/>
  <c r="O225" i="5"/>
  <c r="O226" i="5"/>
  <c r="O227" i="5"/>
  <c r="O228" i="5"/>
  <c r="O229" i="5"/>
  <c r="O230" i="5"/>
  <c r="O231" i="5"/>
  <c r="O232" i="5"/>
  <c r="O233" i="5"/>
  <c r="O234" i="5"/>
  <c r="O235" i="5"/>
  <c r="O236" i="5"/>
  <c r="O237" i="5"/>
  <c r="O238" i="5"/>
  <c r="O239" i="5"/>
  <c r="O240" i="5"/>
  <c r="O241" i="5"/>
  <c r="O242" i="5"/>
  <c r="O243" i="5"/>
  <c r="O244" i="5"/>
  <c r="O245" i="5"/>
  <c r="O246" i="5"/>
  <c r="O247" i="5"/>
  <c r="O248" i="5"/>
  <c r="O249" i="5"/>
  <c r="O250" i="5"/>
  <c r="O251" i="5"/>
  <c r="O252" i="5"/>
  <c r="O253" i="5"/>
  <c r="O254" i="5"/>
  <c r="O255" i="5"/>
  <c r="O256" i="5"/>
  <c r="O257" i="5"/>
  <c r="O258" i="5"/>
  <c r="O259" i="5"/>
  <c r="O260" i="5"/>
  <c r="O261" i="5"/>
  <c r="O262" i="5"/>
  <c r="O263" i="5"/>
  <c r="O264" i="5"/>
  <c r="O265" i="5"/>
  <c r="O266" i="5"/>
  <c r="O267" i="5"/>
  <c r="O268" i="5"/>
  <c r="O269" i="5"/>
  <c r="O270" i="5"/>
  <c r="O271" i="5"/>
  <c r="O272" i="5"/>
  <c r="O273" i="5"/>
  <c r="O274" i="5"/>
  <c r="O275" i="5"/>
  <c r="O276" i="5"/>
  <c r="O277" i="5"/>
  <c r="O278" i="5"/>
  <c r="O279" i="5"/>
  <c r="O280" i="5"/>
  <c r="O281" i="5"/>
  <c r="O282" i="5"/>
  <c r="O283" i="5"/>
  <c r="O284" i="5"/>
  <c r="O285" i="5"/>
  <c r="O286" i="5"/>
  <c r="O287" i="5"/>
  <c r="O288" i="5"/>
  <c r="O289" i="5"/>
  <c r="O290" i="5"/>
  <c r="O291" i="5"/>
  <c r="O292" i="5"/>
  <c r="O293" i="5"/>
  <c r="O294" i="5"/>
  <c r="O295" i="5"/>
  <c r="O296" i="5"/>
  <c r="O297" i="5"/>
  <c r="O298" i="5"/>
  <c r="O299" i="5"/>
  <c r="O300" i="5"/>
  <c r="O301" i="5"/>
  <c r="O302" i="5"/>
  <c r="O303" i="5"/>
  <c r="O304" i="5"/>
  <c r="O305" i="5"/>
  <c r="O306" i="5"/>
  <c r="O307" i="5"/>
  <c r="O308" i="5"/>
  <c r="O309" i="5"/>
  <c r="O310" i="5"/>
  <c r="O311" i="5"/>
  <c r="O312" i="5"/>
  <c r="O313" i="5"/>
  <c r="O314" i="5"/>
  <c r="O315" i="5"/>
  <c r="O316" i="5"/>
  <c r="O317" i="5"/>
  <c r="O318" i="5"/>
  <c r="O319" i="5"/>
  <c r="O320" i="5"/>
  <c r="O321" i="5"/>
  <c r="O322" i="5"/>
  <c r="O323" i="5"/>
  <c r="O324" i="5"/>
  <c r="O325" i="5"/>
  <c r="O326" i="5"/>
  <c r="O327" i="5"/>
  <c r="O328" i="5"/>
  <c r="O329" i="5"/>
  <c r="O330" i="5"/>
  <c r="O331" i="5"/>
  <c r="O332" i="5"/>
  <c r="O333" i="5"/>
  <c r="O334" i="5"/>
  <c r="O335" i="5"/>
  <c r="O336" i="5"/>
  <c r="O337" i="5"/>
  <c r="O338" i="5"/>
  <c r="O339" i="5"/>
  <c r="O340" i="5"/>
  <c r="O341" i="5"/>
  <c r="O342" i="5"/>
  <c r="A10" i="13"/>
  <c r="A2" i="11"/>
  <c r="B10"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tc={35EF6F54-EE1A-478F-B4B1-0684CE239BC1}</author>
  </authors>
  <commentList>
    <comment ref="B291" authorId="0" shapeId="0" xr:uid="{35EF6F54-EE1A-478F-B4B1-0684CE239BC1}">
      <text>
        <t xml:space="preserve">[Threaded comment]
Your version of Excel allows you to read this threaded comment; however, any edits to it will get removed if the file is opened in a newer version of Excel. Learn more: https://go.microsoft.com/fwlink/?linkid=870924
Comment:
    This item apears to be a duplicate two different home depot vendor numbers produce an identical result and im going to mark this one as removed </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B826702E-A3B1-47C9-9042-8BA76B3033A9}" keepAlive="1" name="Query - Image_Tool" description="Connection to the 'Image_Tool' query in the workbook." type="5" refreshedVersion="8" background="1" saveData="1">
    <dbPr connection="Provider=Microsoft.Mashup.OleDb.1;Data Source=$Workbook$;Location=Image_Tool;Extended Properties=&quot;&quot;" command="SELECT * FROM [Image_Tool]"/>
  </connection>
  <connection id="2" xr16:uid="{D686F222-BC53-40AA-A0A5-205A6D96306B}" keepAlive="1" name="Query - images in folder" description="Connection to the 'images in folder' query in the workbook." type="5" refreshedVersion="0" background="1" saveData="1">
    <dbPr connection="Provider=Microsoft.Mashup.OleDb.1;Data Source=$Workbook$;Location=&quot;images in folder&quot;;Extended Properties=&quot;&quot;" command="SELECT * FROM [images in folder]"/>
  </connection>
  <connection id="3" xr16:uid="{F40EF348-0C84-4581-9911-3F7565364546}" keepAlive="1" name="Query - Inventory_JSON_Prep" description="Connection to the 'Inventory_JSON_Prep' query in the workbook." type="5" refreshedVersion="0" background="1" saveData="1">
    <dbPr connection="Provider=Microsoft.Mashup.OleDb.1;Data Source=$Workbook$;Location=Inventory_JSON_Prep;Extended Properties=&quot;&quot;" command="SELECT * FROM [Inventory_JSON_Prep]"/>
  </connection>
  <connection id="4" xr16:uid="{078B1820-B7BD-4F7E-8D99-6FBBCEF98B9C}" keepAlive="1" name="Query - Table_Trailer_Restock" description="Connection to the 'Table_Trailer_Restock' query in the workbook." type="5" refreshedVersion="8" background="1" saveData="1">
    <dbPr connection="Provider=Microsoft.Mashup.OleDb.1;Data Source=$Workbook$;Location=Table_Trailer_Restock;Extended Properties=&quot;&quot;" command="SELECT * FROM [Table_Trailer_Restock]"/>
  </connection>
  <connection id="5" xr16:uid="{07677B68-5904-461F-A4EE-BA310B966813}" keepAlive="1" name="Query - Table_Trailer_Restock_JSON" description="Connection to the 'Table_Trailer_Restock_JSON' query in the workbook." type="5" refreshedVersion="8" background="1" saveData="1">
    <dbPr connection="Provider=Microsoft.Mashup.OleDb.1;Data Source=$Workbook$;Location=Table_Trailer_Restock_JSON;Extended Properties=&quot;&quot;" command="SELECT * FROM [Table_Trailer_Restock_JSON]"/>
  </connection>
</connections>
</file>

<file path=xl/sharedStrings.xml><?xml version="1.0" encoding="utf-8"?>
<sst xmlns="http://schemas.openxmlformats.org/spreadsheetml/2006/main" count="7545" uniqueCount="1271">
  <si>
    <t xml:space="preserve">Number of Records </t>
  </si>
  <si>
    <t>Master Record ID</t>
  </si>
  <si>
    <t>Description</t>
  </si>
  <si>
    <t>CAT 1</t>
  </si>
  <si>
    <t>CAT 2</t>
  </si>
  <si>
    <t>CAT3</t>
  </si>
  <si>
    <t>Size</t>
  </si>
  <si>
    <t>Manufacture</t>
  </si>
  <si>
    <t>MFG Part #</t>
  </si>
  <si>
    <t>Vendor</t>
  </si>
  <si>
    <t>VEN Part #</t>
  </si>
  <si>
    <t>Warehouse Order QTY</t>
  </si>
  <si>
    <t>Warehouse Min QTY</t>
  </si>
  <si>
    <t>Cost</t>
  </si>
  <si>
    <t>Unit</t>
  </si>
  <si>
    <t>Image Path</t>
  </si>
  <si>
    <t>Spacer</t>
  </si>
  <si>
    <t>Is Active Inventory Item</t>
  </si>
  <si>
    <t>Is GIM</t>
  </si>
  <si>
    <t>Is Unit Starting Ductwork</t>
  </si>
  <si>
    <t>Is Ductwork</t>
  </si>
  <si>
    <t>Is Warehouse</t>
  </si>
  <si>
    <t>Is Geo Trailer Stock</t>
  </si>
  <si>
    <t>Is Geo Case Stock</t>
  </si>
  <si>
    <t>DeOx (Anti-Ox) Grease</t>
  </si>
  <si>
    <t>Parts</t>
  </si>
  <si>
    <t>Electrical</t>
  </si>
  <si>
    <t>Connections</t>
  </si>
  <si>
    <t>4 oz</t>
  </si>
  <si>
    <t>Home Depot</t>
  </si>
  <si>
    <t>30-026</t>
  </si>
  <si>
    <t>each</t>
  </si>
  <si>
    <t>Ground Bar w/ Lug</t>
  </si>
  <si>
    <t>GBK1420CS</t>
  </si>
  <si>
    <t>Lug - 70A Neutral (2-prong)</t>
  </si>
  <si>
    <t>70A</t>
  </si>
  <si>
    <t>Lug - 100A Neutral</t>
  </si>
  <si>
    <t>100A</t>
  </si>
  <si>
    <t>Serice Panel Cover Replacement Screw</t>
  </si>
  <si>
    <t>Spade Connector Female (blue)</t>
  </si>
  <si>
    <t>Supply House</t>
  </si>
  <si>
    <t>6233LX</t>
  </si>
  <si>
    <t>Spade Connector Female (red) - unshielded</t>
  </si>
  <si>
    <t>6235LX</t>
  </si>
  <si>
    <t>Thread Forming Ground Screw</t>
  </si>
  <si>
    <t>5/16"</t>
  </si>
  <si>
    <t>30-3194</t>
  </si>
  <si>
    <t>Wire Nuts (orange)</t>
  </si>
  <si>
    <t>30-073</t>
  </si>
  <si>
    <t>Wire Nuts (yellow)</t>
  </si>
  <si>
    <t>30-074</t>
  </si>
  <si>
    <t>Wire Nuts (red)</t>
  </si>
  <si>
    <t>30-076</t>
  </si>
  <si>
    <t>Wire Nuts (blue/grey)</t>
  </si>
  <si>
    <t>30-072</t>
  </si>
  <si>
    <t>Wire Nuts (green grounding)</t>
  </si>
  <si>
    <t>30-092</t>
  </si>
  <si>
    <t>5/16" Anti Short Bushing</t>
  </si>
  <si>
    <t>Fittings</t>
  </si>
  <si>
    <t>3/8" Romex Wire Connector</t>
  </si>
  <si>
    <t>3/8"</t>
  </si>
  <si>
    <t>750-RC841</t>
  </si>
  <si>
    <t>3/8 Flex 90°</t>
  </si>
  <si>
    <t>100-SOUTHWIRE</t>
  </si>
  <si>
    <t>3/8" Duplex Wire Connector (MC)</t>
  </si>
  <si>
    <t>350-SOUTHWIRE</t>
  </si>
  <si>
    <t>3/8" MC Clamp Connector w/ End Stop</t>
  </si>
  <si>
    <t>1/2" Knock Out Seal</t>
  </si>
  <si>
    <t>3/4"</t>
  </si>
  <si>
    <t>KO50</t>
  </si>
  <si>
    <t>3/4" Knock Out Seal</t>
  </si>
  <si>
    <t>KO51</t>
  </si>
  <si>
    <t>3/4" Liquid Tight 90°</t>
  </si>
  <si>
    <t>P492</t>
  </si>
  <si>
    <t>3/4" Liquid Tight Straight</t>
  </si>
  <si>
    <t>Supply / Cooper</t>
  </si>
  <si>
    <t>452TZ</t>
  </si>
  <si>
    <t>1" Romex Wire Connector</t>
  </si>
  <si>
    <t>1"</t>
  </si>
  <si>
    <t>1" - 3/4" Reducing Washer</t>
  </si>
  <si>
    <t>1" x 3/4"</t>
  </si>
  <si>
    <t>1" - 1/2" Reducing Washer</t>
  </si>
  <si>
    <t>1" x 1/2"</t>
  </si>
  <si>
    <t>1-1/4" - 1" Reducing Washer</t>
  </si>
  <si>
    <t>1-1/4" x 1"</t>
  </si>
  <si>
    <t>Drywall Screw - #6 x 1 1/4"</t>
  </si>
  <si>
    <t>Hardware</t>
  </si>
  <si>
    <t>Fasteners</t>
  </si>
  <si>
    <t>1 1/4"</t>
  </si>
  <si>
    <t>1 tub</t>
  </si>
  <si>
    <t>25lb</t>
  </si>
  <si>
    <t>Drywall Screw - #8 x 2 1/2"</t>
  </si>
  <si>
    <t>2 1/2"</t>
  </si>
  <si>
    <t>SPAX Screw - #10 x 1 1/2"</t>
  </si>
  <si>
    <t>1 1/2"</t>
  </si>
  <si>
    <t>Tapcon - 1/4" x 1 1/4"</t>
  </si>
  <si>
    <t>1 box (75)</t>
  </si>
  <si>
    <t>Tapcon - 1/4" x 2 3/4"</t>
  </si>
  <si>
    <t>2 3/4"</t>
  </si>
  <si>
    <t>Zip Screw - 1/2"</t>
  </si>
  <si>
    <t>1/4 x 1/2</t>
  </si>
  <si>
    <t>ABR</t>
  </si>
  <si>
    <t>HW8x1/2 Z</t>
  </si>
  <si>
    <t>1 bin (12000)</t>
  </si>
  <si>
    <t>1/4 bin</t>
  </si>
  <si>
    <t>Zip Screw - 1"</t>
  </si>
  <si>
    <t>1/4 x 1</t>
  </si>
  <si>
    <t>HW8x1 Z</t>
  </si>
  <si>
    <t>1 bin (7000)</t>
  </si>
  <si>
    <t>Zip Screw - 5/16" x 3/4"</t>
  </si>
  <si>
    <t>5/16 x 3/4</t>
  </si>
  <si>
    <t>BT143T</t>
  </si>
  <si>
    <t>1 bin (500)</t>
  </si>
  <si>
    <t>Twist-N-Lock Drywall Anchors</t>
  </si>
  <si>
    <t>75 lbs</t>
  </si>
  <si>
    <t>2 box</t>
  </si>
  <si>
    <t>1 box</t>
  </si>
  <si>
    <t>5/32" (4 mm) Low Voltage Staples</t>
  </si>
  <si>
    <t>Low Voltage</t>
  </si>
  <si>
    <t>5/32"</t>
  </si>
  <si>
    <t>4 packs</t>
  </si>
  <si>
    <t>1 pack</t>
  </si>
  <si>
    <t>625 pack</t>
  </si>
  <si>
    <t>1/4" (6mm) Low Voltage Staples</t>
  </si>
  <si>
    <t>1/4"</t>
  </si>
  <si>
    <t xml:space="preserve">Label Tape 1/2" (12mm) </t>
  </si>
  <si>
    <t>Brother</t>
  </si>
  <si>
    <t>TZE2312PK</t>
  </si>
  <si>
    <t>4 rolls</t>
  </si>
  <si>
    <t xml:space="preserve">Standoff clamp - 2 Hole Low Voltage </t>
  </si>
  <si>
    <t>10296-S</t>
  </si>
  <si>
    <t>Sticky Mounting Base - 1" x 1"</t>
  </si>
  <si>
    <t>1" x 1"</t>
  </si>
  <si>
    <t>1/2" PEX Plug</t>
  </si>
  <si>
    <t>PEX</t>
  </si>
  <si>
    <t>1/2"</t>
  </si>
  <si>
    <t>PXP050-DZR</t>
  </si>
  <si>
    <t>1/2" PEX Crimp Ring</t>
  </si>
  <si>
    <t>PXCR050</t>
  </si>
  <si>
    <t>1 bag</t>
  </si>
  <si>
    <t>1/2" PEX Pinch Ring</t>
  </si>
  <si>
    <t>PXCL050</t>
  </si>
  <si>
    <t>3/4" PEX Plug</t>
  </si>
  <si>
    <t>PXP075-DZR</t>
  </si>
  <si>
    <t>3/4" PEX Crimp Ring</t>
  </si>
  <si>
    <t>Clamp</t>
  </si>
  <si>
    <t>PXCR075</t>
  </si>
  <si>
    <t>2 bags</t>
  </si>
  <si>
    <t>3/4" PEX Pinch Ring</t>
  </si>
  <si>
    <t>PXCL075</t>
  </si>
  <si>
    <t>3/4 - 1/2" PEX Reducing Coupling</t>
  </si>
  <si>
    <t>3/4" - 1/2"</t>
  </si>
  <si>
    <t>PXC050-075-DZR</t>
  </si>
  <si>
    <t>1" PEX Plug</t>
  </si>
  <si>
    <t>PXP100-DZR</t>
  </si>
  <si>
    <t>1" PEX Crimp Ring</t>
  </si>
  <si>
    <t>PXCR100</t>
  </si>
  <si>
    <t>1" PEX Pinch Ring</t>
  </si>
  <si>
    <t>PXCL100</t>
  </si>
  <si>
    <t>1" - 3/4" PEX Reducing Coupling</t>
  </si>
  <si>
    <t>1 - 3/4""</t>
  </si>
  <si>
    <t>PXC075-100-DZR</t>
  </si>
  <si>
    <t>1/2" PEX Coupling</t>
  </si>
  <si>
    <t>PXC050-DZR</t>
  </si>
  <si>
    <t>3/4" PEX Elbow</t>
  </si>
  <si>
    <t>642X3</t>
  </si>
  <si>
    <t>3/4" PEX Coupling</t>
  </si>
  <si>
    <t>PXC075-DZR</t>
  </si>
  <si>
    <t>3/4" PEX Tee</t>
  </si>
  <si>
    <t>PXT075-DZR</t>
  </si>
  <si>
    <t>3/4" PEX Ball Valve</t>
  </si>
  <si>
    <t>PXBV075-DZR</t>
  </si>
  <si>
    <t>3/4" PEX Ball Valve w/ Drain</t>
  </si>
  <si>
    <t>PXBVD075</t>
  </si>
  <si>
    <t>3/4" PEX - 3/4" NPT Male</t>
  </si>
  <si>
    <t>PXM075-DZR</t>
  </si>
  <si>
    <t>3/4" PEX - 3/4" NPT Female</t>
  </si>
  <si>
    <t>PXF075-DZR</t>
  </si>
  <si>
    <t>1" PEX Elbow</t>
  </si>
  <si>
    <t>PXE100-DZR</t>
  </si>
  <si>
    <t>1" PEX Coupling</t>
  </si>
  <si>
    <t>PXC100-DZR</t>
  </si>
  <si>
    <t>1/2" Press Elbow</t>
  </si>
  <si>
    <t>Press</t>
  </si>
  <si>
    <t>CP90E050</t>
  </si>
  <si>
    <t>1/2" Press Street Elbow</t>
  </si>
  <si>
    <t>CPSE050</t>
  </si>
  <si>
    <t>1/2" Press Coupling w/ Stop</t>
  </si>
  <si>
    <t xml:space="preserve">1/2" Press x 3/4" NPT Male </t>
  </si>
  <si>
    <t>1/2" Press x 3/4" PEX Adapter</t>
  </si>
  <si>
    <t>9035040PC</t>
  </si>
  <si>
    <t>1/2" Black Iron Plug</t>
  </si>
  <si>
    <t>Black Iron</t>
  </si>
  <si>
    <t>BLP050C</t>
  </si>
  <si>
    <t>1/2" Black Iron Cap</t>
  </si>
  <si>
    <t>BLCP050C</t>
  </si>
  <si>
    <t>3/4" Black Iron Plug</t>
  </si>
  <si>
    <t>BLP075C</t>
  </si>
  <si>
    <t>3/4" Black Iron Cap</t>
  </si>
  <si>
    <t>BMCP0034</t>
  </si>
  <si>
    <t>1/4"Compression Brass Sleeve</t>
  </si>
  <si>
    <t>Push Fit</t>
  </si>
  <si>
    <t>1/2" Push Fit Coupling</t>
  </si>
  <si>
    <t>U008LF</t>
  </si>
  <si>
    <t>1/2" Push Fit End Stop</t>
  </si>
  <si>
    <t>PFES050</t>
  </si>
  <si>
    <t>3/4" - 1/2" Push Fit Reducing Coupling</t>
  </si>
  <si>
    <t>PFC050-075</t>
  </si>
  <si>
    <t>3/4" Push Fit Coupling</t>
  </si>
  <si>
    <t>U016LF</t>
  </si>
  <si>
    <t>3/4" Push Fit Tee</t>
  </si>
  <si>
    <t>U370LF</t>
  </si>
  <si>
    <t>3/4" Push Fit End Stop</t>
  </si>
  <si>
    <t>PFES075</t>
  </si>
  <si>
    <t>3/4" x 1/4" Compression Push Fit Tee</t>
  </si>
  <si>
    <t>3/4" x 1/4"</t>
  </si>
  <si>
    <t>3/4" PVC 90° Elbow</t>
  </si>
  <si>
    <t>PVC</t>
  </si>
  <si>
    <t>406-007</t>
  </si>
  <si>
    <t>3/4" PVC Street Elbow</t>
  </si>
  <si>
    <t>409-007</t>
  </si>
  <si>
    <t>3/4" PVC 45°</t>
  </si>
  <si>
    <t>417-007</t>
  </si>
  <si>
    <t>3/4" PVC Tee</t>
  </si>
  <si>
    <t>401-007</t>
  </si>
  <si>
    <t>3/4" PVC Male Thread Adapter</t>
  </si>
  <si>
    <t>436-007</t>
  </si>
  <si>
    <t>3/4" PVC Coupling</t>
  </si>
  <si>
    <t>429-007</t>
  </si>
  <si>
    <t>3/4" PVC Plug</t>
  </si>
  <si>
    <t>450-007</t>
  </si>
  <si>
    <t>3/4" Hose Clamps</t>
  </si>
  <si>
    <t>HCL6</t>
  </si>
  <si>
    <t>3/4" Barb x 3/4" FPT Elbow</t>
  </si>
  <si>
    <t>3/8" Plastic Barb Coupling</t>
  </si>
  <si>
    <t>701-032</t>
  </si>
  <si>
    <t>3/8" Plastic Barb x 3/8" MPT Adapter</t>
  </si>
  <si>
    <t>701-013</t>
  </si>
  <si>
    <t>3/8" One Hole Strap (MC)</t>
  </si>
  <si>
    <t>Securing &amp; Supports</t>
  </si>
  <si>
    <t>3/8" Electro-galvanized Ceiling Plate</t>
  </si>
  <si>
    <t>CLF-G38</t>
  </si>
  <si>
    <t>3/8" Hex Nut</t>
  </si>
  <si>
    <t>GVHX038</t>
  </si>
  <si>
    <t>1/2" Beveled Rubber Washer</t>
  </si>
  <si>
    <t>9/16" NM Staples</t>
  </si>
  <si>
    <t>9/16"</t>
  </si>
  <si>
    <t>Gardner Bender</t>
  </si>
  <si>
    <t>3/4" One Hole Strap (rigid)</t>
  </si>
  <si>
    <t>Supply House/ Cooper</t>
  </si>
  <si>
    <t>1-1/4" Electro-galvanized Split Ring (hinged)</t>
  </si>
  <si>
    <t>1-1/4"</t>
  </si>
  <si>
    <t>GVSR125H</t>
  </si>
  <si>
    <t>1-1/2" Electro-galvanized Split Ring (hinged)</t>
  </si>
  <si>
    <t>1-1/2"</t>
  </si>
  <si>
    <t>GVSR150H</t>
  </si>
  <si>
    <t>Cutting Wheel - Metal</t>
  </si>
  <si>
    <t>Tool</t>
  </si>
  <si>
    <t>Blades</t>
  </si>
  <si>
    <t>4-1/2"</t>
  </si>
  <si>
    <t xml:space="preserve">Cutting Wheel - Diamond Metal </t>
  </si>
  <si>
    <t>Knife Blades - Retractable</t>
  </si>
  <si>
    <t>50 pack</t>
  </si>
  <si>
    <t>Oscillating Tool Blades (Wood/Nail)</t>
  </si>
  <si>
    <t>1-3/8"</t>
  </si>
  <si>
    <t>Lowes</t>
  </si>
  <si>
    <t xml:space="preserve">Sawzall Blade (wood) - 9" </t>
  </si>
  <si>
    <t>9"</t>
  </si>
  <si>
    <t>48-00-5036</t>
  </si>
  <si>
    <t xml:space="preserve">Sawzall Blade (metal) - 9" </t>
  </si>
  <si>
    <t>48-00-5188</t>
  </si>
  <si>
    <t xml:space="preserve">Sawzall Blade (wood) - 6" </t>
  </si>
  <si>
    <t>6"</t>
  </si>
  <si>
    <t>48-00-5035</t>
  </si>
  <si>
    <t xml:space="preserve">Sawzall Blade (metal) - 6" </t>
  </si>
  <si>
    <t>48-00-5184</t>
  </si>
  <si>
    <t>Carpet Shield Roll</t>
  </si>
  <si>
    <t>Cleanliness</t>
  </si>
  <si>
    <t>24 x 50</t>
  </si>
  <si>
    <t>CS2450</t>
  </si>
  <si>
    <t>Tub-O-Towel</t>
  </si>
  <si>
    <t>4 tubs</t>
  </si>
  <si>
    <t>Garbage Bags</t>
  </si>
  <si>
    <t>Husky</t>
  </si>
  <si>
    <t>4 boxes</t>
  </si>
  <si>
    <t>Glass Cleaner</t>
  </si>
  <si>
    <t>Sprayway</t>
  </si>
  <si>
    <t>BJ's</t>
  </si>
  <si>
    <t>SW0504CLUB</t>
  </si>
  <si>
    <t>Goo Gone</t>
  </si>
  <si>
    <t>Bottle</t>
  </si>
  <si>
    <t>Mr. Clean Sheets</t>
  </si>
  <si>
    <t>Painters Plastic</t>
  </si>
  <si>
    <t>12 x 400</t>
  </si>
  <si>
    <t>c</t>
  </si>
  <si>
    <t>Box of Paper Towels</t>
  </si>
  <si>
    <t>Terry Clothes (towels)</t>
  </si>
  <si>
    <t>2 pack</t>
  </si>
  <si>
    <t>Condensate Pump</t>
  </si>
  <si>
    <t>Misc</t>
  </si>
  <si>
    <t>Condensate</t>
  </si>
  <si>
    <t>1/31 HP</t>
  </si>
  <si>
    <t>LCU-15</t>
  </si>
  <si>
    <t>Basset Bracket</t>
  </si>
  <si>
    <t>Ductwork</t>
  </si>
  <si>
    <t>Hanger</t>
  </si>
  <si>
    <t>N/A</t>
  </si>
  <si>
    <t>A-150</t>
  </si>
  <si>
    <t>1 box (50)</t>
  </si>
  <si>
    <t>2 box (50)</t>
  </si>
  <si>
    <t>Flat Stock (26 guage)</t>
  </si>
  <si>
    <t>4' x 2'</t>
  </si>
  <si>
    <t>Schueler</t>
  </si>
  <si>
    <t>Literature Rack</t>
  </si>
  <si>
    <t>Pipe Strap (woven)</t>
  </si>
  <si>
    <t>1 3/4 x 100</t>
  </si>
  <si>
    <t>710-100</t>
  </si>
  <si>
    <t>Pipe Strap (plastic)</t>
  </si>
  <si>
    <t>3/4 x 100</t>
  </si>
  <si>
    <t>S-cleats</t>
  </si>
  <si>
    <t>1 x 60</t>
  </si>
  <si>
    <t>60-324</t>
  </si>
  <si>
    <t>Trunk Hanger</t>
  </si>
  <si>
    <t>1 x 9</t>
  </si>
  <si>
    <t>8-185</t>
  </si>
  <si>
    <t>1 box (250)</t>
  </si>
  <si>
    <t>15A Single Pole Breaker - Eaton</t>
  </si>
  <si>
    <t>Circuit Breakers</t>
  </si>
  <si>
    <t>15A</t>
  </si>
  <si>
    <t>30A Double Pole Breaker - Eaton</t>
  </si>
  <si>
    <t>30A</t>
  </si>
  <si>
    <t>60A Double Pole Breaker - Eaton</t>
  </si>
  <si>
    <t>60A</t>
  </si>
  <si>
    <t>BR260</t>
  </si>
  <si>
    <t>100A Double Pole Breaker - Eaton</t>
  </si>
  <si>
    <t>BR2100</t>
  </si>
  <si>
    <t>Blank Cover - 4" x 2"</t>
  </si>
  <si>
    <t>Enclosuer &amp; Outlet</t>
  </si>
  <si>
    <t>4" x 2"</t>
  </si>
  <si>
    <t>050169008607</t>
  </si>
  <si>
    <t>Blank Cover - 4" x 4"</t>
  </si>
  <si>
    <t>4" x 4"</t>
  </si>
  <si>
    <t>Gang Box - 4" x 2"</t>
  </si>
  <si>
    <t>1-7/8" DP 1/2" KO</t>
  </si>
  <si>
    <t>050169006603</t>
  </si>
  <si>
    <t>Gang Box - 4" x 4"</t>
  </si>
  <si>
    <t>Outlet - GFCI - 15A</t>
  </si>
  <si>
    <t>Outlet Cover - 4" x 4"</t>
  </si>
  <si>
    <t>Switch - 15A</t>
  </si>
  <si>
    <t>Switch Cover - 4" x 2"</t>
  </si>
  <si>
    <t>#6 THHN (black)</t>
  </si>
  <si>
    <t>Wire &amp; Conduit</t>
  </si>
  <si>
    <t>#6 x 500'</t>
  </si>
  <si>
    <t>Cooper Electric</t>
  </si>
  <si>
    <t>2 rolls</t>
  </si>
  <si>
    <t>3 roll</t>
  </si>
  <si>
    <t>per foot</t>
  </si>
  <si>
    <t>#6 THHN (red)</t>
  </si>
  <si>
    <t>#10 THHN (green)</t>
  </si>
  <si>
    <t>#10 x 500'</t>
  </si>
  <si>
    <t>3/4" Flexible Conduit</t>
  </si>
  <si>
    <t>3/4" DiversiTech</t>
  </si>
  <si>
    <t>750-34100</t>
  </si>
  <si>
    <t>3 rolls</t>
  </si>
  <si>
    <t>MC Cable - 10/2</t>
  </si>
  <si>
    <t>10/2 x 125ft</t>
  </si>
  <si>
    <t>MC Cable - 14/2</t>
  </si>
  <si>
    <t>14/2 x 250ft</t>
  </si>
  <si>
    <t>Thermostat Wire - 18/2</t>
  </si>
  <si>
    <t>18/2</t>
  </si>
  <si>
    <t>Thermostat Wire - 18/4</t>
  </si>
  <si>
    <t>18/4</t>
  </si>
  <si>
    <t>Thermostat Wire - 18/6</t>
  </si>
  <si>
    <t>18/6</t>
  </si>
  <si>
    <t>Batteries - Temp Probe</t>
  </si>
  <si>
    <t>Finishing Bag</t>
  </si>
  <si>
    <t>Blade Fuse - 3 AMP</t>
  </si>
  <si>
    <t>3A</t>
  </si>
  <si>
    <t>ZFP03</t>
  </si>
  <si>
    <t>Blade Fuse - 5 AMP</t>
  </si>
  <si>
    <t>5A</t>
  </si>
  <si>
    <t>ZFP05</t>
  </si>
  <si>
    <t>Pressure Gauge - 100 psi (back)</t>
  </si>
  <si>
    <t>Ground Loop</t>
  </si>
  <si>
    <t>Tester Parts</t>
  </si>
  <si>
    <t>2" dial</t>
  </si>
  <si>
    <t>PEM1407</t>
  </si>
  <si>
    <t>1/4" Universal Coupler</t>
  </si>
  <si>
    <t>Small Metraseal - 1 1/2"</t>
  </si>
  <si>
    <t>Seals</t>
  </si>
  <si>
    <t>MS200</t>
  </si>
  <si>
    <t>Phoenix</t>
  </si>
  <si>
    <t>MS200-E</t>
  </si>
  <si>
    <t>3" x 1-1/2" Flexible Reducer Coupling</t>
  </si>
  <si>
    <t>3" x 1-1/2"</t>
  </si>
  <si>
    <t>FRC300-150</t>
  </si>
  <si>
    <t>3/4" HDPE Coupling</t>
  </si>
  <si>
    <t>HDPE</t>
  </si>
  <si>
    <t>SPC44</t>
  </si>
  <si>
    <t>1-1/4" HDPE Coupling</t>
  </si>
  <si>
    <t>SPC66</t>
  </si>
  <si>
    <t>1-1/4" HDPE 90° Elbow</t>
  </si>
  <si>
    <t>SPE66</t>
  </si>
  <si>
    <t>1-1/4" HDPE 45° Elbow</t>
  </si>
  <si>
    <t>SP45E66</t>
  </si>
  <si>
    <t>1-1/4" Flow Center Adapter</t>
  </si>
  <si>
    <t>Phoenix or WF</t>
  </si>
  <si>
    <t>GL5PES</t>
  </si>
  <si>
    <t>6 pair</t>
  </si>
  <si>
    <t>1-1/4" HDPE x 1" Male Thread Adapter</t>
  </si>
  <si>
    <t>1 1/4" x 1"</t>
  </si>
  <si>
    <t>SPMA65</t>
  </si>
  <si>
    <t>1-1/2" HDPE Coupling</t>
  </si>
  <si>
    <t>SPC77</t>
  </si>
  <si>
    <t>1-1/2" HDPE 90° Elbow</t>
  </si>
  <si>
    <t>2"</t>
  </si>
  <si>
    <t>SPE77</t>
  </si>
  <si>
    <t>1-1/2" HDPE 45° Elbow</t>
  </si>
  <si>
    <t>Geo Supply Co.</t>
  </si>
  <si>
    <t>SPE77-45</t>
  </si>
  <si>
    <t>1-1/2" HDPE Cap</t>
  </si>
  <si>
    <t>SPS77</t>
  </si>
  <si>
    <t>1-1/2" x 1-1/4" HDPE Coupling</t>
  </si>
  <si>
    <t>1-1/2" x 1-1/4"</t>
  </si>
  <si>
    <t>SPC76</t>
  </si>
  <si>
    <t>Buried Manifold - 1-1/2" x (7) 3/4" Outlet</t>
  </si>
  <si>
    <t>1-1/2" x 3/4"</t>
  </si>
  <si>
    <t>BMH747P</t>
  </si>
  <si>
    <t>???</t>
  </si>
  <si>
    <t>Buried Manifold - 1-1/2" x (6) 3/4" Outlet</t>
  </si>
  <si>
    <t>BMH746P</t>
  </si>
  <si>
    <t>Buried Manifold - 1-1/2" x (5) 3/4" Outlet</t>
  </si>
  <si>
    <t>BMH745P</t>
  </si>
  <si>
    <t>1" MPT x 1" Barb Elbow w/ PT Port</t>
  </si>
  <si>
    <t>Hose Fittings &amp; Pipe</t>
  </si>
  <si>
    <t>GF3447</t>
  </si>
  <si>
    <t>Flo-Link x 1" Barb Elbow w/ PT Port</t>
  </si>
  <si>
    <t>FL x 1"</t>
  </si>
  <si>
    <t>GF3263</t>
  </si>
  <si>
    <t>Flo-Link x 1" Barb</t>
  </si>
  <si>
    <t>GF2913</t>
  </si>
  <si>
    <t>1 1/4" HDPE Adapter x 1" Barb</t>
  </si>
  <si>
    <t>GFPFA54HB</t>
  </si>
  <si>
    <t>1" Rubber Hose</t>
  </si>
  <si>
    <t>HK-1HS</t>
  </si>
  <si>
    <t>100'</t>
  </si>
  <si>
    <t>50'</t>
  </si>
  <si>
    <t>1/4" MPT P/T Plug</t>
  </si>
  <si>
    <t>N76-02</t>
  </si>
  <si>
    <t>1/4" Plug</t>
  </si>
  <si>
    <t>BRSP038</t>
  </si>
  <si>
    <t>Stainless Steel Clamps - 3/4" x 1-3/4"</t>
  </si>
  <si>
    <t>3/4" x 1-3/4"</t>
  </si>
  <si>
    <t>HK-Clamp</t>
  </si>
  <si>
    <t>5/8" Split Seam</t>
  </si>
  <si>
    <t>Insulation</t>
  </si>
  <si>
    <t>5/8"</t>
  </si>
  <si>
    <t>Industrial</t>
  </si>
  <si>
    <t>7/8" Split Seam</t>
  </si>
  <si>
    <t>7/8"</t>
  </si>
  <si>
    <t>8 boxes</t>
  </si>
  <si>
    <t>6 boxes</t>
  </si>
  <si>
    <t>1-1/8" Split Seam</t>
  </si>
  <si>
    <t>1-1/8"</t>
  </si>
  <si>
    <t>2 boxes</t>
  </si>
  <si>
    <t>1-3/8" Split Seam</t>
  </si>
  <si>
    <t>1-5/8" Split Seam</t>
  </si>
  <si>
    <t>1-5/8"</t>
  </si>
  <si>
    <t>2" Split Seam</t>
  </si>
  <si>
    <t>12 boxes</t>
  </si>
  <si>
    <t>Insulatape Rolls</t>
  </si>
  <si>
    <t>General</t>
  </si>
  <si>
    <t>12 cases</t>
  </si>
  <si>
    <t>6 cases</t>
  </si>
  <si>
    <t>Yard Signs</t>
  </si>
  <si>
    <t>Marketing</t>
  </si>
  <si>
    <t>Sign Supports</t>
  </si>
  <si>
    <t>Unit Sticker</t>
  </si>
  <si>
    <t>Geo Dr. Sticker</t>
  </si>
  <si>
    <t>Referral Cards</t>
  </si>
  <si>
    <t>Review Cards</t>
  </si>
  <si>
    <t>Batteries - AAA</t>
  </si>
  <si>
    <t>Perishable Materials (trailer)</t>
  </si>
  <si>
    <t>Batteries</t>
  </si>
  <si>
    <t>20 count</t>
  </si>
  <si>
    <t>Batteries - AA</t>
  </si>
  <si>
    <t>Batteries - 9V</t>
  </si>
  <si>
    <t>6 pack</t>
  </si>
  <si>
    <t>Brush (mastic)</t>
  </si>
  <si>
    <t>B-503</t>
  </si>
  <si>
    <t>Brushes (flux)</t>
  </si>
  <si>
    <t>Sweat Bag</t>
  </si>
  <si>
    <t>Flux (self-cleaning)</t>
  </si>
  <si>
    <t>8 oz</t>
  </si>
  <si>
    <t>VP Supply</t>
  </si>
  <si>
    <t>661-002</t>
  </si>
  <si>
    <t>Hose Washers (box of 10)</t>
  </si>
  <si>
    <t>SFB0741</t>
  </si>
  <si>
    <t>Hydraulic Cement</t>
  </si>
  <si>
    <t>Adhesives, Sealants, Lubricants</t>
  </si>
  <si>
    <t>Quikrete</t>
  </si>
  <si>
    <t>per lb</t>
  </si>
  <si>
    <t>Lightbulbs - 60W Daylight</t>
  </si>
  <si>
    <t>Lubricating Jelly</t>
  </si>
  <si>
    <t>4 oz.</t>
  </si>
  <si>
    <t>Amazon</t>
  </si>
  <si>
    <t>Medpride</t>
  </si>
  <si>
    <t>MAP Gas</t>
  </si>
  <si>
    <t>Marker -Black</t>
  </si>
  <si>
    <t>Stationary</t>
  </si>
  <si>
    <t>Miwaukee</t>
  </si>
  <si>
    <t>Paper - Graph</t>
  </si>
  <si>
    <t xml:space="preserve">Pencils - Carpenter </t>
  </si>
  <si>
    <t xml:space="preserve">Pencils - Retractable </t>
  </si>
  <si>
    <t>BIC</t>
  </si>
  <si>
    <t>PVC Glue - 4 oz.</t>
  </si>
  <si>
    <t>PVC Primer (clear) - 4 oz.</t>
  </si>
  <si>
    <t xml:space="preserve">Sand Paper - Open Mesh </t>
  </si>
  <si>
    <t>per yard</t>
  </si>
  <si>
    <t>Silicone (aluminum)</t>
  </si>
  <si>
    <t>tube</t>
  </si>
  <si>
    <t>86-370A</t>
  </si>
  <si>
    <t xml:space="preserve">Solder - 95/5 Lead Free </t>
  </si>
  <si>
    <t>95/5</t>
  </si>
  <si>
    <t>Spray Foam (fireblock)</t>
  </si>
  <si>
    <t>Can</t>
  </si>
  <si>
    <t>Spray Foam (expanding)</t>
  </si>
  <si>
    <t xml:space="preserve">Tape - Buried Water Line </t>
  </si>
  <si>
    <t>Tape</t>
  </si>
  <si>
    <t>2" x 1000'</t>
  </si>
  <si>
    <t>DETB21005</t>
  </si>
  <si>
    <t>1 roll</t>
  </si>
  <si>
    <t>Tape - Caution Marking</t>
  </si>
  <si>
    <t>3" x 1000'</t>
  </si>
  <si>
    <t>1 rolls</t>
  </si>
  <si>
    <t>Tape - Duct (gray light duty)</t>
  </si>
  <si>
    <t>Nashua</t>
  </si>
  <si>
    <t>12 rolls</t>
  </si>
  <si>
    <t>Tape - Duct (white)</t>
  </si>
  <si>
    <t>3M White</t>
  </si>
  <si>
    <t>Tape FSK (insulation tape)</t>
  </si>
  <si>
    <t>roll</t>
  </si>
  <si>
    <t>Tape - Line Set (black)</t>
  </si>
  <si>
    <t>SVP410K36BK</t>
  </si>
  <si>
    <t>VP Supply/Ferguson</t>
  </si>
  <si>
    <t>Shur Tape/VP410 black vinyl lineset tape</t>
  </si>
  <si>
    <t>Tape - Masking  (Scotch blue)</t>
  </si>
  <si>
    <t>1.41 in.</t>
  </si>
  <si>
    <t xml:space="preserve">Tape - Metal </t>
  </si>
  <si>
    <t>Foil 21/2 339</t>
  </si>
  <si>
    <t>Teflon Thread 1/2"</t>
  </si>
  <si>
    <t>Teflon Thread  3/4"</t>
  </si>
  <si>
    <t>Teflon Thread Sealant</t>
  </si>
  <si>
    <t>Thumb Gum - dark gray</t>
  </si>
  <si>
    <t>WD40</t>
  </si>
  <si>
    <t>Wire Brush - 1/2"</t>
  </si>
  <si>
    <t>COPBRU1/2</t>
  </si>
  <si>
    <t>Wire Brush - 3/4"</t>
  </si>
  <si>
    <t>COPBRU3/4</t>
  </si>
  <si>
    <t>Wire Brush - 1"</t>
  </si>
  <si>
    <t>COPBRU1</t>
  </si>
  <si>
    <t>Wire Brush - 1-1/4"</t>
  </si>
  <si>
    <t>COPBRU1-1/4</t>
  </si>
  <si>
    <t>Wire Brush - 1-1/2"</t>
  </si>
  <si>
    <t>COPBRU1-1/2</t>
  </si>
  <si>
    <t>Wire &amp; Cable Lube</t>
  </si>
  <si>
    <t>32 oz</t>
  </si>
  <si>
    <t>092644510151</t>
  </si>
  <si>
    <t>1/4"  OD Copper Coil</t>
  </si>
  <si>
    <t>Pipe</t>
  </si>
  <si>
    <t>Copper</t>
  </si>
  <si>
    <t>1/4" (50 ft)</t>
  </si>
  <si>
    <t>3/8" ID (1/2" OD) Vinyl Tubing</t>
  </si>
  <si>
    <t>Vinyl</t>
  </si>
  <si>
    <t>1/2" OD x 100'</t>
  </si>
  <si>
    <t>7-38</t>
  </si>
  <si>
    <t>1/2" ID Vinyl Tubing</t>
  </si>
  <si>
    <t>1/2" ID x 100'</t>
  </si>
  <si>
    <t>7-12</t>
  </si>
  <si>
    <t>1/2" Type L Copper Pipe</t>
  </si>
  <si>
    <t>1/2" x 10'</t>
  </si>
  <si>
    <t>3/4" SCH 40 PVC</t>
  </si>
  <si>
    <t>3/4" x 10'</t>
  </si>
  <si>
    <t>3/4" PEX - red</t>
  </si>
  <si>
    <t>19.80 / 20 ft</t>
  </si>
  <si>
    <t>1-1/4" HDPE Pipe (straight) - 20ft</t>
  </si>
  <si>
    <t>1-1/4" x 20'</t>
  </si>
  <si>
    <t>PS06C-0020</t>
  </si>
  <si>
    <t>1-1/2" HDPE Pipe (straight) - 20ft</t>
  </si>
  <si>
    <t>1-1/2" x 20'</t>
  </si>
  <si>
    <t>PS07C-0020</t>
  </si>
  <si>
    <t>3" SCH 40 PVC</t>
  </si>
  <si>
    <t>3" x 10'</t>
  </si>
  <si>
    <t>Alcohol Prep Pad</t>
  </si>
  <si>
    <t>Safety Gear</t>
  </si>
  <si>
    <t>Equate</t>
  </si>
  <si>
    <t>Wal-Mart</t>
  </si>
  <si>
    <t>Antibiotic</t>
  </si>
  <si>
    <t>Bandaides</t>
  </si>
  <si>
    <t>Bug Spray</t>
  </si>
  <si>
    <t>6 oz.</t>
  </si>
  <si>
    <t>Dust Mask</t>
  </si>
  <si>
    <t>N95</t>
  </si>
  <si>
    <t>Ear Plugs</t>
  </si>
  <si>
    <t>90716-3-10DC</t>
  </si>
  <si>
    <t>Nytrile Gloves</t>
  </si>
  <si>
    <t>Particulate Filter - P95</t>
  </si>
  <si>
    <t>3M 2071</t>
  </si>
  <si>
    <t>4MH55</t>
  </si>
  <si>
    <t>Poison Ivy Itch Spray</t>
  </si>
  <si>
    <t>3.4 oz</t>
  </si>
  <si>
    <t>Ivarest</t>
  </si>
  <si>
    <t>Safety Glasses (6-pack)</t>
  </si>
  <si>
    <t>HDX</t>
  </si>
  <si>
    <t>Sunscreen</t>
  </si>
  <si>
    <t>Terri Strips</t>
  </si>
  <si>
    <t>Tyvek Suits</t>
  </si>
  <si>
    <t>FDC-001A</t>
  </si>
  <si>
    <t>3/8" Threaded Rod</t>
  </si>
  <si>
    <t>Securing &amp; Support</t>
  </si>
  <si>
    <t>3/8" x 6'</t>
  </si>
  <si>
    <t>ATR3/8x72ZN</t>
  </si>
  <si>
    <t>1-1/4" Galvaized 2 hole Strap</t>
  </si>
  <si>
    <t>1-1/2" Galvaized 2 hole Strap</t>
  </si>
  <si>
    <t>2" Galvaized 2 hole Strap</t>
  </si>
  <si>
    <t>2-1/2" Galvaized 2 hole Strap</t>
  </si>
  <si>
    <t>2-1/2"</t>
  </si>
  <si>
    <t>4 box</t>
  </si>
  <si>
    <t>Composite Shims</t>
  </si>
  <si>
    <t>8"</t>
  </si>
  <si>
    <t>3 bundles</t>
  </si>
  <si>
    <t>Zip Tie - 8"</t>
  </si>
  <si>
    <t>3 bags</t>
  </si>
  <si>
    <t>Zip Tie - 14"</t>
  </si>
  <si>
    <t>14"</t>
  </si>
  <si>
    <t>Zipt Tie - 36"</t>
  </si>
  <si>
    <t>36"</t>
  </si>
  <si>
    <t>T50 x 3/8" Staples</t>
  </si>
  <si>
    <t>1250 pack</t>
  </si>
  <si>
    <t>3 packs</t>
  </si>
  <si>
    <t>2"x4" Pine</t>
  </si>
  <si>
    <t>Wood</t>
  </si>
  <si>
    <t>2" x 4" x 48"</t>
  </si>
  <si>
    <t>6 in half</t>
  </si>
  <si>
    <t>Humidifier</t>
  </si>
  <si>
    <t>Add-Ons</t>
  </si>
  <si>
    <t>Aprilaire</t>
  </si>
  <si>
    <t>600M</t>
  </si>
  <si>
    <t>Dehumidifier</t>
  </si>
  <si>
    <t>.</t>
  </si>
  <si>
    <t>Wet Switch</t>
  </si>
  <si>
    <t>WS-1 Flood Detector</t>
  </si>
  <si>
    <t>UV Purifier</t>
  </si>
  <si>
    <t>UV2400U1000</t>
  </si>
  <si>
    <t>Anode Rod - Powered</t>
  </si>
  <si>
    <t>40-80 Callon</t>
  </si>
  <si>
    <t>Methanol 15-DI</t>
  </si>
  <si>
    <t>Antifreeze</t>
  </si>
  <si>
    <t>55 gal</t>
  </si>
  <si>
    <t>Interstate Chem</t>
  </si>
  <si>
    <t>per gallon</t>
  </si>
  <si>
    <t>Methanol 50%</t>
  </si>
  <si>
    <t>Drill Bit 1/8" x 12" Pilot</t>
  </si>
  <si>
    <t>Bits</t>
  </si>
  <si>
    <t>Dewalt</t>
  </si>
  <si>
    <t>Nut Driver Reversible</t>
  </si>
  <si>
    <t>1/4" - 5/16"</t>
  </si>
  <si>
    <t>MSHC</t>
  </si>
  <si>
    <t>Philips #2 - 1"</t>
  </si>
  <si>
    <t>Philips #2 - 2"</t>
  </si>
  <si>
    <t xml:space="preserve">Square Recess #1 - 1" </t>
  </si>
  <si>
    <t>#1</t>
  </si>
  <si>
    <t xml:space="preserve">Square Recess #2 - 1" </t>
  </si>
  <si>
    <t>#2</t>
  </si>
  <si>
    <t>T10 Bit</t>
  </si>
  <si>
    <t>48-32-4427</t>
  </si>
  <si>
    <t>T20 Bit</t>
  </si>
  <si>
    <t>Circular Saw Blade - 24 tooth x 6-1/2"</t>
  </si>
  <si>
    <t xml:space="preserve">Diablo 6-1/2" </t>
  </si>
  <si>
    <t>Replacement Blade - 1-5/8" Ratchet</t>
  </si>
  <si>
    <t>RC-1625</t>
  </si>
  <si>
    <t>Replacement Blade - 2-3/8" Ratchet</t>
  </si>
  <si>
    <t>2-3/8"</t>
  </si>
  <si>
    <t>RC-2375</t>
  </si>
  <si>
    <t>Tubing Cutter Replacement Wheel</t>
  </si>
  <si>
    <t>Rigid E-3469</t>
  </si>
  <si>
    <t>Winsheild Washer Fluid</t>
  </si>
  <si>
    <t>Rain X</t>
  </si>
  <si>
    <t>3/4" Barb x 3/4" FPT Elbow (duplicate)</t>
  </si>
  <si>
    <t>Subpanel - 125A (plug-on neutral)</t>
  </si>
  <si>
    <t>125A</t>
  </si>
  <si>
    <t>BRP12L125G</t>
  </si>
  <si>
    <t>Disconnect - 60A Non-Fused</t>
  </si>
  <si>
    <t>DDS-60U</t>
  </si>
  <si>
    <t>SER Cable 2-2-2-4 AL</t>
  </si>
  <si>
    <t>Wire</t>
  </si>
  <si>
    <t>1000 ft</t>
  </si>
  <si>
    <t>2224SER</t>
  </si>
  <si>
    <t>1000'</t>
  </si>
  <si>
    <t>30x32x2 MERV11 Air Filter</t>
  </si>
  <si>
    <t>Filters</t>
  </si>
  <si>
    <t>30x32x2</t>
  </si>
  <si>
    <t>AllFilters.com</t>
  </si>
  <si>
    <t>SP-30x32x2-P11M6</t>
  </si>
  <si>
    <t>30x36x2 MERV11 Air Filter</t>
  </si>
  <si>
    <t>30x36x2</t>
  </si>
  <si>
    <t>SP-30x36x2-P11M6</t>
  </si>
  <si>
    <t>3/4" HDPE Pipe (coil) 600ft</t>
  </si>
  <si>
    <t>PC04C-0600</t>
  </si>
  <si>
    <t>1-1/2" HDPE Pipe (coil) 200ft</t>
  </si>
  <si>
    <t>PC07C-0200</t>
  </si>
  <si>
    <t>Electrical Tape (red)</t>
  </si>
  <si>
    <t>Scotch</t>
  </si>
  <si>
    <t>Hole Cutter Replacement Bit</t>
  </si>
  <si>
    <t>Perishables (tools)</t>
  </si>
  <si>
    <t>Malco</t>
  </si>
  <si>
    <t>Hole Cutter Pivot Pin</t>
  </si>
  <si>
    <t>HC1B</t>
  </si>
  <si>
    <t>1/2" Pro-Pal Press  Valve w/ Drain</t>
  </si>
  <si>
    <t>Valve</t>
  </si>
  <si>
    <t>80612W</t>
  </si>
  <si>
    <t>2" PVC Cap</t>
  </si>
  <si>
    <t>3" PVC Cap</t>
  </si>
  <si>
    <t>3"</t>
  </si>
  <si>
    <t>447-030</t>
  </si>
  <si>
    <t>Vacuum Pump Oil</t>
  </si>
  <si>
    <t>Refrigeration</t>
  </si>
  <si>
    <t>1 qt</t>
  </si>
  <si>
    <t>85-2600</t>
  </si>
  <si>
    <t>Refrigerant - R454B</t>
  </si>
  <si>
    <t>25 lbs</t>
  </si>
  <si>
    <t>ABR / Meier</t>
  </si>
  <si>
    <t>Nitrogen Tank</t>
  </si>
  <si>
    <t>60 cu ft</t>
  </si>
  <si>
    <t>NIT60GAS</t>
  </si>
  <si>
    <t>1 full</t>
  </si>
  <si>
    <t>Oxygen Tank</t>
  </si>
  <si>
    <t>20 cu ft</t>
  </si>
  <si>
    <t>OXYR20GAS</t>
  </si>
  <si>
    <t>Acetylene Tank</t>
  </si>
  <si>
    <t>10 cu ft</t>
  </si>
  <si>
    <t>BGAS</t>
  </si>
  <si>
    <t>Brazing Rod</t>
  </si>
  <si>
    <t>Stay-Silv 15%</t>
  </si>
  <si>
    <t>15620F1</t>
  </si>
  <si>
    <t>Recovery Tank (empty)</t>
  </si>
  <si>
    <t>30 lbs</t>
  </si>
  <si>
    <t>30RTEMPTY</t>
  </si>
  <si>
    <t>3/8" x 2" Fully Threaded Stud</t>
  </si>
  <si>
    <t xml:space="preserve">2" </t>
  </si>
  <si>
    <t>Argco.com</t>
  </si>
  <si>
    <t>3/8" x 4" Fully Threaded Stud</t>
  </si>
  <si>
    <t xml:space="preserve">4" </t>
  </si>
  <si>
    <t>Plastic Pad - 24" x 24" x 2"</t>
  </si>
  <si>
    <t>24" x 24" x 2"</t>
  </si>
  <si>
    <t>Plastic Pad - 32" x 32" x 2"</t>
  </si>
  <si>
    <t>32" x 32" x 2"</t>
  </si>
  <si>
    <t>94762-POLARPAD</t>
  </si>
  <si>
    <t>2"x 4" Pressure Treated</t>
  </si>
  <si>
    <t>2" x 4" x 32"</t>
  </si>
  <si>
    <t>4 in 3's</t>
  </si>
  <si>
    <t>3/4" Sanded Plywood (2' x 3' sheets)</t>
  </si>
  <si>
    <t>2' x 3' x 3/4"</t>
  </si>
  <si>
    <t>pre-cut</t>
  </si>
  <si>
    <t>Elbow 6"</t>
  </si>
  <si>
    <t>Fitting</t>
  </si>
  <si>
    <t>6-30-302</t>
  </si>
  <si>
    <t>Elbow 7"</t>
  </si>
  <si>
    <t>7"</t>
  </si>
  <si>
    <t>7-30-302</t>
  </si>
  <si>
    <t>Elbow 8"</t>
  </si>
  <si>
    <t>8-30-302</t>
  </si>
  <si>
    <t>Zip Ties - 4'</t>
  </si>
  <si>
    <t>Flex Pipe</t>
  </si>
  <si>
    <t>48"</t>
  </si>
  <si>
    <t>2 bag (1 bag)</t>
  </si>
  <si>
    <t>Angle Bracket</t>
  </si>
  <si>
    <t>New Construction</t>
  </si>
  <si>
    <t>1 x1 x 36</t>
  </si>
  <si>
    <t>50 (50)</t>
  </si>
  <si>
    <t>Nail Plate (hurricane strap)</t>
  </si>
  <si>
    <t>FHA-300 - 1816 - 8</t>
  </si>
  <si>
    <t>2 packs (50)</t>
  </si>
  <si>
    <t>Nails (framing) - 16D x 3-1/2" Framing Nails</t>
  </si>
  <si>
    <t>16D x 3 1/2"</t>
  </si>
  <si>
    <t>Nails (structural) 10D x 1-1/2"</t>
  </si>
  <si>
    <t>10D x 1 1/2"</t>
  </si>
  <si>
    <t>Toe Kick Box</t>
  </si>
  <si>
    <t>Round Pipe - 6"</t>
  </si>
  <si>
    <t>6-30-301</t>
  </si>
  <si>
    <t>Round Pipe - 7"</t>
  </si>
  <si>
    <t>7-30-301</t>
  </si>
  <si>
    <t>Round Pipe - 8"</t>
  </si>
  <si>
    <t>8-30-301</t>
  </si>
  <si>
    <t>Pipe Cap - 4"</t>
  </si>
  <si>
    <t>4"</t>
  </si>
  <si>
    <t>4-310</t>
  </si>
  <si>
    <t>Pipe Cap - 6"</t>
  </si>
  <si>
    <t>6-310</t>
  </si>
  <si>
    <t>Pipe Cap - 7"</t>
  </si>
  <si>
    <t>7-310</t>
  </si>
  <si>
    <t>Pipe Cap - 8"</t>
  </si>
  <si>
    <t>8-310</t>
  </si>
  <si>
    <t>Mastic (grey)</t>
  </si>
  <si>
    <t>Sealing</t>
  </si>
  <si>
    <t>1 gal</t>
  </si>
  <si>
    <t>ABR / SH</t>
  </si>
  <si>
    <t>PD671611/AS11-1</t>
  </si>
  <si>
    <t>6 buckets</t>
  </si>
  <si>
    <t>Flex Collar Roll</t>
  </si>
  <si>
    <t>Unit Starting Ductwork</t>
  </si>
  <si>
    <t>100ft</t>
  </si>
  <si>
    <t>JBX</t>
  </si>
  <si>
    <t>1 (1)</t>
  </si>
  <si>
    <t>$2.28 /ft</t>
  </si>
  <si>
    <t>Return Drop</t>
  </si>
  <si>
    <t>28 x 14 x 48</t>
  </si>
  <si>
    <t>Return Boot  (5 - 6-ton WF)</t>
  </si>
  <si>
    <t>28 x 34 x 14</t>
  </si>
  <si>
    <t>3 (6)</t>
  </si>
  <si>
    <t>Return Plenum</t>
  </si>
  <si>
    <t>24 x 10 x 33</t>
  </si>
  <si>
    <t>24x10x33 - 125</t>
  </si>
  <si>
    <t>3 (1)</t>
  </si>
  <si>
    <t>Return Plenum Cap (SET)</t>
  </si>
  <si>
    <t>24 x 10</t>
  </si>
  <si>
    <t>24x10 - 187SET</t>
  </si>
  <si>
    <t>Return Plenum Cap (SNAP)</t>
  </si>
  <si>
    <t>24x10 - 186SNP</t>
  </si>
  <si>
    <t>Supply Plenum</t>
  </si>
  <si>
    <t>18 x 18</t>
  </si>
  <si>
    <t>Supply Plenum Cap</t>
  </si>
  <si>
    <t>Selection</t>
  </si>
  <si>
    <t>Warning do not filter/sort table data (WILL BREAK POWER QUERY!!!!)</t>
  </si>
  <si>
    <t>Trailer Stock</t>
  </si>
  <si>
    <t>Case Stock</t>
  </si>
  <si>
    <t>SPACER</t>
  </si>
  <si>
    <t>Location</t>
  </si>
  <si>
    <t>Trailer Stock Max</t>
  </si>
  <si>
    <t>Trailer Stock Min</t>
  </si>
  <si>
    <t>Restock Type</t>
  </si>
  <si>
    <t>Macro Sort</t>
  </si>
  <si>
    <t>Micro Sort</t>
  </si>
  <si>
    <t>Slicer</t>
  </si>
  <si>
    <t>Sort Order</t>
  </si>
  <si>
    <t xml:space="preserve">Label </t>
  </si>
  <si>
    <t>https://raw.githubusercontent.com/LaryBird12/geo-images/main/images/1.jpg</t>
  </si>
  <si>
    <t>Electrical Connections</t>
  </si>
  <si>
    <t>Each</t>
  </si>
  <si>
    <t>C01</t>
  </si>
  <si>
    <t>https://raw.githubusercontent.com/LaryBird12/geo-images/main/images/2.jpg</t>
  </si>
  <si>
    <t>C02</t>
  </si>
  <si>
    <t>https://raw.githubusercontent.com/LaryBird12/geo-images/main/images/3.jpg</t>
  </si>
  <si>
    <t>C03</t>
  </si>
  <si>
    <t>Electrical Fittings</t>
  </si>
  <si>
    <t>https://raw.githubusercontent.com/LaryBird12/geo-images/main/images/4.jpg</t>
  </si>
  <si>
    <t>C04</t>
  </si>
  <si>
    <t>https://raw.githubusercontent.com/LaryBird12/geo-images/main/images/5.jpg</t>
  </si>
  <si>
    <t>C05</t>
  </si>
  <si>
    <t>https://raw.githubusercontent.com/LaryBird12/geo-images/main/images/6.jpg</t>
  </si>
  <si>
    <t>C06</t>
  </si>
  <si>
    <t>https://raw.githubusercontent.com/LaryBird12/geo-images/main/images/7.jpg</t>
  </si>
  <si>
    <t>C07</t>
  </si>
  <si>
    <t>PEX Fittings</t>
  </si>
  <si>
    <t>https://raw.githubusercontent.com/LaryBird12/geo-images/main/images/8.jpg</t>
  </si>
  <si>
    <t>C08</t>
  </si>
  <si>
    <t>PVC Fittings</t>
  </si>
  <si>
    <t>https://raw.githubusercontent.com/LaryBird12/geo-images/main/images/9.jpg</t>
  </si>
  <si>
    <t>1/2 Bin</t>
  </si>
  <si>
    <t>1/8 Bin</t>
  </si>
  <si>
    <t>Bin</t>
  </si>
  <si>
    <t>C09</t>
  </si>
  <si>
    <t>Push Fit Fittings</t>
  </si>
  <si>
    <t>https://raw.githubusercontent.com/LaryBird12/geo-images/main/images/10.jpg</t>
  </si>
  <si>
    <t>C10</t>
  </si>
  <si>
    <t>Press &amp; Black Iron</t>
  </si>
  <si>
    <t>https://raw.githubusercontent.com/LaryBird12/geo-images/main/images/11.jpg</t>
  </si>
  <si>
    <t>T01</t>
  </si>
  <si>
    <t>Trailer</t>
  </si>
  <si>
    <t>https://raw.githubusercontent.com/LaryBird12/geo-images/main/images/12.jpg</t>
  </si>
  <si>
    <t>T02</t>
  </si>
  <si>
    <t>Cleanliness Supplies</t>
  </si>
  <si>
    <t>https://raw.githubusercontent.com/LaryBird12/geo-images/main/images/13.jpg</t>
  </si>
  <si>
    <t>T03</t>
  </si>
  <si>
    <t>https://raw.githubusercontent.com/LaryBird12/geo-images/main/images/14.jpg</t>
  </si>
  <si>
    <t>1/4 Bin</t>
  </si>
  <si>
    <t>T04</t>
  </si>
  <si>
    <t>https://raw.githubusercontent.com/LaryBird12/geo-images/main/images/15.jpg</t>
  </si>
  <si>
    <t>T05</t>
  </si>
  <si>
    <t>Electrical - Circuit Breakers</t>
  </si>
  <si>
    <t>https://raw.githubusercontent.com/LaryBird12/geo-images/main/images/16.jpg</t>
  </si>
  <si>
    <t>Full Bin</t>
  </si>
  <si>
    <t>T06</t>
  </si>
  <si>
    <t>Electrical - Parts</t>
  </si>
  <si>
    <t>https://raw.githubusercontent.com/LaryBird12/geo-images/main/images/17.jpg</t>
  </si>
  <si>
    <t>T07</t>
  </si>
  <si>
    <t>Electrical - Wire &amp; Conduit</t>
  </si>
  <si>
    <t>https://raw.githubusercontent.com/LaryBird12/geo-images/main/images/18.jpg</t>
  </si>
  <si>
    <t>T08</t>
  </si>
  <si>
    <t>https://raw.githubusercontent.com/LaryBird12/geo-images/main/images/19.jpg</t>
  </si>
  <si>
    <t>T09</t>
  </si>
  <si>
    <t>Ground Loop Seals</t>
  </si>
  <si>
    <t>https://raw.githubusercontent.com/LaryBird12/geo-images/main/images/20.jpg</t>
  </si>
  <si>
    <t>T10</t>
  </si>
  <si>
    <t>Ground Loop Tester Parts</t>
  </si>
  <si>
    <t>https://raw.githubusercontent.com/LaryBird12/geo-images/main/images/21.jpg</t>
  </si>
  <si>
    <t>T11</t>
  </si>
  <si>
    <t>HDPE Fittings</t>
  </si>
  <si>
    <t>https://raw.githubusercontent.com/LaryBird12/geo-images/main/images/22.jpg</t>
  </si>
  <si>
    <t>T12</t>
  </si>
  <si>
    <t>https://raw.githubusercontent.com/LaryBird12/geo-images/main/images/23.jpg</t>
  </si>
  <si>
    <t>T13</t>
  </si>
  <si>
    <t>https://raw.githubusercontent.com/LaryBird12/geo-images/main/images/24.jpg</t>
  </si>
  <si>
    <t>T14</t>
  </si>
  <si>
    <t>https://raw.githubusercontent.com/LaryBird12/geo-images/main/images/25.jpg</t>
  </si>
  <si>
    <t>T18</t>
  </si>
  <si>
    <t>Perishable Items</t>
  </si>
  <si>
    <t>https://raw.githubusercontent.com/LaryBird12/geo-images/main/images/26.jpg</t>
  </si>
  <si>
    <t>T15</t>
  </si>
  <si>
    <t>Piping</t>
  </si>
  <si>
    <t>https://raw.githubusercontent.com/LaryBird12/geo-images/main/images/27.jpg</t>
  </si>
  <si>
    <t>T16</t>
  </si>
  <si>
    <t>https://raw.githubusercontent.com/LaryBird12/geo-images/main/images/28.jpg</t>
  </si>
  <si>
    <t>T17</t>
  </si>
  <si>
    <t>https://raw.githubusercontent.com/LaryBird12/geo-images/main/images/29.jpg</t>
  </si>
  <si>
    <t>T19</t>
  </si>
  <si>
    <t>https://raw.githubusercontent.com/LaryBird12/geo-images/main/images/30.jpg</t>
  </si>
  <si>
    <t>https://raw.githubusercontent.com/LaryBird12/geo-images/main/images/31.jpg</t>
  </si>
  <si>
    <t>https://raw.githubusercontent.com/LaryBird12/geo-images/main/images/32.jpg</t>
  </si>
  <si>
    <t>https://raw.githubusercontent.com/LaryBird12/geo-images/main/images/33.jpg</t>
  </si>
  <si>
    <t>https://raw.githubusercontent.com/LaryBird12/geo-images/main/images/34.jpg</t>
  </si>
  <si>
    <t>https://raw.githubusercontent.com/LaryBird12/geo-images/main/images/35.jpg</t>
  </si>
  <si>
    <t>https://raw.githubusercontent.com/LaryBird12/geo-images/main/images/36.jpg</t>
  </si>
  <si>
    <t>https://raw.githubusercontent.com/LaryBird12/geo-images/main/images/37.jpg</t>
  </si>
  <si>
    <t>https://raw.githubusercontent.com/LaryBird12/geo-images/main/images/38.jpg</t>
  </si>
  <si>
    <t>https://raw.githubusercontent.com/LaryBird12/geo-images/main/images/39.jpg</t>
  </si>
  <si>
    <t>https://raw.githubusercontent.com/LaryBird12/geo-images/main/images/40.jpg</t>
  </si>
  <si>
    <t>https://raw.githubusercontent.com/LaryBird12/geo-images/main/images/41.jpg</t>
  </si>
  <si>
    <t>https://raw.githubusercontent.com/LaryBird12/geo-images/main/images/42.jpg</t>
  </si>
  <si>
    <t>https://raw.githubusercontent.com/LaryBird12/geo-images/main/images/43.jpg</t>
  </si>
  <si>
    <t>https://raw.githubusercontent.com/LaryBird12/geo-images/main/images/44.jpg</t>
  </si>
  <si>
    <t>https://raw.githubusercontent.com/LaryBird12/geo-images/main/images/45.jpg</t>
  </si>
  <si>
    <t>https://raw.githubusercontent.com/LaryBird12/geo-images/main/images/46.jpg</t>
  </si>
  <si>
    <t>https://raw.githubusercontent.com/LaryBird12/geo-images/main/images/47.jpg</t>
  </si>
  <si>
    <t>https://raw.githubusercontent.com/LaryBird12/geo-images/main/images/48.jpg</t>
  </si>
  <si>
    <t>https://raw.githubusercontent.com/LaryBird12/geo-images/main/images/49.jpg</t>
  </si>
  <si>
    <t>https://raw.githubusercontent.com/LaryBird12/geo-images/main/images/50.jpg</t>
  </si>
  <si>
    <t>https://raw.githubusercontent.com/LaryBird12/geo-images/main/images/51.jpg</t>
  </si>
  <si>
    <t>https://raw.githubusercontent.com/LaryBird12/geo-images/main/images/52.jpg</t>
  </si>
  <si>
    <t>https://raw.githubusercontent.com/LaryBird12/geo-images/main/images/53.jpg</t>
  </si>
  <si>
    <t>https://raw.githubusercontent.com/LaryBird12/geo-images/main/images/54.jpg</t>
  </si>
  <si>
    <t>https://raw.githubusercontent.com/LaryBird12/geo-images/main/images/55.jpg</t>
  </si>
  <si>
    <t>https://raw.githubusercontent.com/LaryBird12/geo-images/main/images/56.jpg</t>
  </si>
  <si>
    <t>https://raw.githubusercontent.com/LaryBird12/geo-images/main/images/57.jpg</t>
  </si>
  <si>
    <t>https://raw.githubusercontent.com/LaryBird12/geo-images/main/images/58.jpg</t>
  </si>
  <si>
    <t>https://raw.githubusercontent.com/LaryBird12/geo-images/main/images/59.jpg</t>
  </si>
  <si>
    <t>https://raw.githubusercontent.com/LaryBird12/geo-images/main/images/60.jpg</t>
  </si>
  <si>
    <t>https://raw.githubusercontent.com/LaryBird12/geo-images/main/images/61.jpg</t>
  </si>
  <si>
    <t>https://raw.githubusercontent.com/LaryBird12/geo-images/main/images/62.jpg</t>
  </si>
  <si>
    <t>https://raw.githubusercontent.com/LaryBird12/geo-images/main/images/63.jpg</t>
  </si>
  <si>
    <t>https://raw.githubusercontent.com/LaryBird12/geo-images/main/images/64.jpg</t>
  </si>
  <si>
    <t>https://raw.githubusercontent.com/LaryBird12/geo-images/main/images/65.jpg</t>
  </si>
  <si>
    <t>https://raw.githubusercontent.com/LaryBird12/geo-images/main/images/66.jpg</t>
  </si>
  <si>
    <t>https://raw.githubusercontent.com/LaryBird12/geo-images/main/images/67.jpg</t>
  </si>
  <si>
    <t>https://raw.githubusercontent.com/LaryBird12/geo-images/main/images/68.jpg</t>
  </si>
  <si>
    <t>https://raw.githubusercontent.com/LaryBird12/geo-images/main/images/69.jpg</t>
  </si>
  <si>
    <t>https://raw.githubusercontent.com/LaryBird12/geo-images/main/images/70.jpg</t>
  </si>
  <si>
    <t>https://raw.githubusercontent.com/LaryBird12/geo-images/main/images/71.jpg</t>
  </si>
  <si>
    <t>https://raw.githubusercontent.com/LaryBird12/geo-images/main/images/72.jpg</t>
  </si>
  <si>
    <t>https://raw.githubusercontent.com/LaryBird12/geo-images/main/images/73.jpg</t>
  </si>
  <si>
    <t>https://raw.githubusercontent.com/LaryBird12/geo-images/main/images/74.jpg</t>
  </si>
  <si>
    <t>https://raw.githubusercontent.com/LaryBird12/geo-images/main/images/75.jpg</t>
  </si>
  <si>
    <t>https://raw.githubusercontent.com/LaryBird12/geo-images/main/images/76.jpg</t>
  </si>
  <si>
    <t>https://raw.githubusercontent.com/LaryBird12/geo-images/main/images/77.jpg</t>
  </si>
  <si>
    <t>https://raw.githubusercontent.com/LaryBird12/geo-images/main/images/78.jpg</t>
  </si>
  <si>
    <t>https://raw.githubusercontent.com/LaryBird12/geo-images/main/images/79.jpg</t>
  </si>
  <si>
    <t>https://raw.githubusercontent.com/LaryBird12/geo-images/main/images/80.jpg</t>
  </si>
  <si>
    <t>https://raw.githubusercontent.com/LaryBird12/geo-images/main/images/81.jpg</t>
  </si>
  <si>
    <t>https://raw.githubusercontent.com/LaryBird12/geo-images/main/images/82.jpg</t>
  </si>
  <si>
    <t>https://raw.githubusercontent.com/LaryBird12/geo-images/main/images/83.jpg</t>
  </si>
  <si>
    <t>https://raw.githubusercontent.com/LaryBird12/geo-images/main/images/84.jpg</t>
  </si>
  <si>
    <t>https://raw.githubusercontent.com/LaryBird12/geo-images/main/images/85.jpg</t>
  </si>
  <si>
    <t>https://raw.githubusercontent.com/LaryBird12/geo-images/main/images/86.jpg</t>
  </si>
  <si>
    <t>https://raw.githubusercontent.com/LaryBird12/geo-images/main/images/87.jpg</t>
  </si>
  <si>
    <t>https://raw.githubusercontent.com/LaryBird12/geo-images/main/images/88.jpg</t>
  </si>
  <si>
    <t>https://raw.githubusercontent.com/LaryBird12/geo-images/main/images/89.jpg</t>
  </si>
  <si>
    <t>https://raw.githubusercontent.com/LaryBird12/geo-images/main/images/90.jpg</t>
  </si>
  <si>
    <t>https://raw.githubusercontent.com/LaryBird12/geo-images/main/images/91.jpg</t>
  </si>
  <si>
    <t>https://raw.githubusercontent.com/LaryBird12/geo-images/main/images/92.jpg</t>
  </si>
  <si>
    <t>https://raw.githubusercontent.com/LaryBird12/geo-images/main/images/93.jpg</t>
  </si>
  <si>
    <t>https://raw.githubusercontent.com/LaryBird12/geo-images/main/images/94.jpg</t>
  </si>
  <si>
    <t>https://raw.githubusercontent.com/LaryBird12/geo-images/main/images/95.jpg</t>
  </si>
  <si>
    <t>https://raw.githubusercontent.com/LaryBird12/geo-images/main/images/96.jpg</t>
  </si>
  <si>
    <t>https://raw.githubusercontent.com/LaryBird12/geo-images/main/images/97.jpg</t>
  </si>
  <si>
    <t>https://raw.githubusercontent.com/LaryBird12/geo-images/main/images/98.jpg</t>
  </si>
  <si>
    <t>https://raw.githubusercontent.com/LaryBird12/geo-images/main/images/99.jpg</t>
  </si>
  <si>
    <t>https://raw.githubusercontent.com/LaryBird12/geo-images/main/images/100.jpg</t>
  </si>
  <si>
    <t>https://raw.githubusercontent.com/LaryBird12/geo-images/main/images/101.jpg</t>
  </si>
  <si>
    <t>https://raw.githubusercontent.com/LaryBird12/geo-images/main/images/102.jpg</t>
  </si>
  <si>
    <t>https://raw.githubusercontent.com/LaryBird12/geo-images/main/images/103.jpg</t>
  </si>
  <si>
    <t>https://raw.githubusercontent.com/LaryBird12/geo-images/main/images/104.jpg</t>
  </si>
  <si>
    <t>https://raw.githubusercontent.com/LaryBird12/geo-images/main/images/105.jpg</t>
  </si>
  <si>
    <t>https://raw.githubusercontent.com/LaryBird12/geo-images/main/images/106.jpg</t>
  </si>
  <si>
    <t>https://raw.githubusercontent.com/LaryBird12/geo-images/main/images/107.jpg</t>
  </si>
  <si>
    <t>https://raw.githubusercontent.com/LaryBird12/geo-images/main/images/108.jpg</t>
  </si>
  <si>
    <t>https://raw.githubusercontent.com/LaryBird12/geo-images/main/images/109.jpg</t>
  </si>
  <si>
    <t>https://raw.githubusercontent.com/LaryBird12/geo-images/main/images/110.jpg</t>
  </si>
  <si>
    <t>https://raw.githubusercontent.com/LaryBird12/geo-images/main/images/111.jpg</t>
  </si>
  <si>
    <t>https://raw.githubusercontent.com/LaryBird12/geo-images/main/images/112.jpg</t>
  </si>
  <si>
    <t>https://raw.githubusercontent.com/LaryBird12/geo-images/main/images/113.jpg</t>
  </si>
  <si>
    <t>https://raw.githubusercontent.com/LaryBird12/geo-images/main/images/114.jpg</t>
  </si>
  <si>
    <t>https://raw.githubusercontent.com/LaryBird12/geo-images/main/images/115.jpg</t>
  </si>
  <si>
    <t>https://raw.githubusercontent.com/LaryBird12/geo-images/main/images/116.jpg</t>
  </si>
  <si>
    <t>https://raw.githubusercontent.com/LaryBird12/geo-images/main/images/117.jpg</t>
  </si>
  <si>
    <t>https://raw.githubusercontent.com/LaryBird12/geo-images/main/images/118.jpg</t>
  </si>
  <si>
    <t>https://raw.githubusercontent.com/LaryBird12/geo-images/main/images/119.jpg</t>
  </si>
  <si>
    <t>https://raw.githubusercontent.com/LaryBird12/geo-images/main/images/120.jpg</t>
  </si>
  <si>
    <t>https://raw.githubusercontent.com/LaryBird12/geo-images/main/images/121.jpg</t>
  </si>
  <si>
    <t>https://raw.githubusercontent.com/LaryBird12/geo-images/main/images/122.jpg</t>
  </si>
  <si>
    <t>https://raw.githubusercontent.com/LaryBird12/geo-images/main/images/123.jpg</t>
  </si>
  <si>
    <t>https://raw.githubusercontent.com/LaryBird12/geo-images/main/images/124.jpg</t>
  </si>
  <si>
    <t>https://raw.githubusercontent.com/LaryBird12/geo-images/main/images/125.jpg</t>
  </si>
  <si>
    <t>https://raw.githubusercontent.com/LaryBird12/geo-images/main/images/126.jpg</t>
  </si>
  <si>
    <t>https://raw.githubusercontent.com/LaryBird12/geo-images/main/images/127.jpg</t>
  </si>
  <si>
    <t>https://raw.githubusercontent.com/LaryBird12/geo-images/main/images/128.jpg</t>
  </si>
  <si>
    <t>https://raw.githubusercontent.com/LaryBird12/geo-images/main/images/129.jpg</t>
  </si>
  <si>
    <t>https://raw.githubusercontent.com/LaryBird12/geo-images/main/images/130.jpg</t>
  </si>
  <si>
    <t>https://raw.githubusercontent.com/LaryBird12/geo-images/main/images/131.jpg</t>
  </si>
  <si>
    <t>https://raw.githubusercontent.com/LaryBird12/geo-images/main/images/132.jpg</t>
  </si>
  <si>
    <t>https://raw.githubusercontent.com/LaryBird12/geo-images/main/images/133.jpg</t>
  </si>
  <si>
    <t>https://raw.githubusercontent.com/LaryBird12/geo-images/main/images/134.jpg</t>
  </si>
  <si>
    <t>https://raw.githubusercontent.com/LaryBird12/geo-images/main/images/135.jpg</t>
  </si>
  <si>
    <t>https://raw.githubusercontent.com/LaryBird12/geo-images/main/images/136.jpg</t>
  </si>
  <si>
    <t>https://raw.githubusercontent.com/LaryBird12/geo-images/main/images/137.jpg</t>
  </si>
  <si>
    <t>https://raw.githubusercontent.com/LaryBird12/geo-images/main/images/138.jpg</t>
  </si>
  <si>
    <t>150'</t>
  </si>
  <si>
    <t>https://raw.githubusercontent.com/LaryBird12/geo-images/main/images/139.jpg</t>
  </si>
  <si>
    <t>300'</t>
  </si>
  <si>
    <t>https://raw.githubusercontent.com/LaryBird12/geo-images/main/images/140.jpg</t>
  </si>
  <si>
    <t>https://raw.githubusercontent.com/LaryBird12/geo-images/main/images/141.jpg</t>
  </si>
  <si>
    <t>1.5 rolls</t>
  </si>
  <si>
    <t>0.5 rolls</t>
  </si>
  <si>
    <t>https://raw.githubusercontent.com/LaryBird12/geo-images/main/images/142.jpg</t>
  </si>
  <si>
    <t>https://raw.githubusercontent.com/LaryBird12/geo-images/main/images/143.jpg</t>
  </si>
  <si>
    <t>https://raw.githubusercontent.com/LaryBird12/geo-images/main/images/144.jpg</t>
  </si>
  <si>
    <t>https://raw.githubusercontent.com/LaryBird12/geo-images/main/images/145.jpg</t>
  </si>
  <si>
    <t>https://raw.githubusercontent.com/LaryBird12/geo-images/main/images/146.jpg</t>
  </si>
  <si>
    <t>https://raw.githubusercontent.com/LaryBird12/geo-images/main/images/147.jpg</t>
  </si>
  <si>
    <t>https://raw.githubusercontent.com/LaryBird12/geo-images/main/images/148.jpg</t>
  </si>
  <si>
    <t>https://raw.githubusercontent.com/LaryBird12/geo-images/main/images/149.jpg</t>
  </si>
  <si>
    <t>https://raw.githubusercontent.com/LaryBird12/geo-images/main/images/150.jpg</t>
  </si>
  <si>
    <t>https://raw.githubusercontent.com/LaryBird12/geo-images/main/images/151.jpg</t>
  </si>
  <si>
    <t>https://raw.githubusercontent.com/LaryBird12/geo-images/main/images/152.jpg</t>
  </si>
  <si>
    <t>https://raw.githubusercontent.com/LaryBird12/geo-images/main/images/153.jpg</t>
  </si>
  <si>
    <t>https://raw.githubusercontent.com/LaryBird12/geo-images/main/images/154.jpg</t>
  </si>
  <si>
    <t>https://raw.githubusercontent.com/LaryBird12/geo-images/main/images/155.jpg</t>
  </si>
  <si>
    <t>https://raw.githubusercontent.com/LaryBird12/geo-images/main/images/156.jpg</t>
  </si>
  <si>
    <t>https://raw.githubusercontent.com/LaryBird12/geo-images/main/images/157.jpg</t>
  </si>
  <si>
    <t>https://raw.githubusercontent.com/LaryBird12/geo-images/main/images/158.jpg</t>
  </si>
  <si>
    <t>https://raw.githubusercontent.com/LaryBird12/geo-images/main/images/159.jpg</t>
  </si>
  <si>
    <t>https://raw.githubusercontent.com/LaryBird12/geo-images/main/images/160.jpg</t>
  </si>
  <si>
    <t>https://raw.githubusercontent.com/LaryBird12/geo-images/main/images/161.jpg</t>
  </si>
  <si>
    <t>https://raw.githubusercontent.com/LaryBird12/geo-images/main/images/162.jpg</t>
  </si>
  <si>
    <t>https://raw.githubusercontent.com/LaryBird12/geo-images/main/images/163.jpg</t>
  </si>
  <si>
    <t>https://raw.githubusercontent.com/LaryBird12/geo-images/main/images/164.jpg</t>
  </si>
  <si>
    <t>https://raw.githubusercontent.com/LaryBird12/geo-images/main/images/165.jpg</t>
  </si>
  <si>
    <t>https://raw.githubusercontent.com/LaryBird12/geo-images/main/images/166.jpg</t>
  </si>
  <si>
    <t>https://raw.githubusercontent.com/LaryBird12/geo-images/main/images/167.jpg</t>
  </si>
  <si>
    <t>https://raw.githubusercontent.com/LaryBird12/geo-images/main/images/168.jpg</t>
  </si>
  <si>
    <t>https://raw.githubusercontent.com/LaryBird12/geo-images/main/images/169.jpg</t>
  </si>
  <si>
    <t>30'</t>
  </si>
  <si>
    <t>12'</t>
  </si>
  <si>
    <t>https://raw.githubusercontent.com/LaryBird12/geo-images/main/images/170.jpg</t>
  </si>
  <si>
    <t>https://raw.githubusercontent.com/LaryBird12/geo-images/main/images/171.jpg</t>
  </si>
  <si>
    <t>https://raw.githubusercontent.com/LaryBird12/geo-images/main/images/172.jpg</t>
  </si>
  <si>
    <t>https://raw.githubusercontent.com/LaryBird12/geo-images/main/images/173.jpg</t>
  </si>
  <si>
    <t>https://raw.githubusercontent.com/LaryBird12/geo-images/main/images/174.jpg</t>
  </si>
  <si>
    <t>https://raw.githubusercontent.com/LaryBird12/geo-images/main/images/175.jpg</t>
  </si>
  <si>
    <t>https://raw.githubusercontent.com/LaryBird12/geo-images/main/images/176.jpg</t>
  </si>
  <si>
    <t>https://raw.githubusercontent.com/LaryBird12/geo-images/main/images/177.jpg</t>
  </si>
  <si>
    <t>https://raw.githubusercontent.com/LaryBird12/geo-images/main/images/178.jpg</t>
  </si>
  <si>
    <t>https://raw.githubusercontent.com/LaryBird12/geo-images/main/images/179.jpg</t>
  </si>
  <si>
    <t>https://raw.githubusercontent.com/LaryBird12/geo-images/main/images/180.jpg</t>
  </si>
  <si>
    <t>https://raw.githubusercontent.com/LaryBird12/geo-images/main/images/181.jpg</t>
  </si>
  <si>
    <t>https://raw.githubusercontent.com/LaryBird12/geo-images/main/images/182.jpg</t>
  </si>
  <si>
    <t>https://raw.githubusercontent.com/LaryBird12/geo-images/main/images/183.jpg</t>
  </si>
  <si>
    <t>https://raw.githubusercontent.com/LaryBird12/geo-images/main/images/184.jpg</t>
  </si>
  <si>
    <t>https://raw.githubusercontent.com/LaryBird12/geo-images/main/images/185.jpg</t>
  </si>
  <si>
    <t>https://raw.githubusercontent.com/LaryBird12/geo-images/main/images/186.jpg</t>
  </si>
  <si>
    <t>https://raw.githubusercontent.com/LaryBird12/geo-images/main/images/187.jpg</t>
  </si>
  <si>
    <t>https://raw.githubusercontent.com/LaryBird12/geo-images/main/images/188.jpg</t>
  </si>
  <si>
    <t>https://raw.githubusercontent.com/LaryBird12/geo-images/main/images/189.jpg</t>
  </si>
  <si>
    <t>https://raw.githubusercontent.com/LaryBird12/geo-images/main/images/190.jpg</t>
  </si>
  <si>
    <t>https://raw.githubusercontent.com/LaryBird12/geo-images/main/images/191.jpg</t>
  </si>
  <si>
    <t>https://raw.githubusercontent.com/LaryBird12/geo-images/main/images/192.jpg</t>
  </si>
  <si>
    <t>https://raw.githubusercontent.com/LaryBird12/geo-images/main/images/193.jpg</t>
  </si>
  <si>
    <t>https://raw.githubusercontent.com/LaryBird12/geo-images/main/images/194.jpg</t>
  </si>
  <si>
    <t>https://raw.githubusercontent.com/LaryBird12/geo-images/main/images/195.jpg</t>
  </si>
  <si>
    <t>https://raw.githubusercontent.com/LaryBird12/geo-images/main/images/196.jpg</t>
  </si>
  <si>
    <t>https://raw.githubusercontent.com/LaryBird12/geo-images/main/images/197.jpg</t>
  </si>
  <si>
    <t>https://raw.githubusercontent.com/LaryBird12/geo-images/main/images/198.jpg</t>
  </si>
  <si>
    <t>https://raw.githubusercontent.com/LaryBird12/geo-images/main/images/199.jpg</t>
  </si>
  <si>
    <t>https://raw.githubusercontent.com/LaryBird12/geo-images/main/images/200.jpg</t>
  </si>
  <si>
    <t>https://raw.githubusercontent.com/LaryBird12/geo-images/main/images/201.jpg</t>
  </si>
  <si>
    <t>https://raw.githubusercontent.com/LaryBird12/geo-images/main/images/202.jpg</t>
  </si>
  <si>
    <t>https://raw.githubusercontent.com/LaryBird12/geo-images/main/images/203.jpg</t>
  </si>
  <si>
    <t>https://raw.githubusercontent.com/LaryBird12/geo-images/main/images/204.jpg</t>
  </si>
  <si>
    <t>https://raw.githubusercontent.com/LaryBird12/geo-images/main/images/205.jpg</t>
  </si>
  <si>
    <t>https://raw.githubusercontent.com/LaryBird12/geo-images/main/images/206.jpg</t>
  </si>
  <si>
    <t>https://raw.githubusercontent.com/LaryBird12/geo-images/main/images/207.jpg</t>
  </si>
  <si>
    <t>https://raw.githubusercontent.com/LaryBird12/geo-images/main/images/208.jpg</t>
  </si>
  <si>
    <t>https://raw.githubusercontent.com/LaryBird12/geo-images/main/images/209.jpg</t>
  </si>
  <si>
    <t>https://raw.githubusercontent.com/LaryBird12/geo-images/main/images/210.jpg</t>
  </si>
  <si>
    <t>https://raw.githubusercontent.com/LaryBird12/geo-images/main/images/211.jpg</t>
  </si>
  <si>
    <t>https://raw.githubusercontent.com/LaryBird12/geo-images/main/images/212.jpg</t>
  </si>
  <si>
    <t>https://raw.githubusercontent.com/LaryBird12/geo-images/main/images/213.jpg</t>
  </si>
  <si>
    <t>https://raw.githubusercontent.com/LaryBird12/geo-images/main/images/214.jpg</t>
  </si>
  <si>
    <t>https://raw.githubusercontent.com/LaryBird12/geo-images/main/images/215.jpg</t>
  </si>
  <si>
    <t>https://raw.githubusercontent.com/LaryBird12/geo-images/main/images/216.jpg</t>
  </si>
  <si>
    <t>https://raw.githubusercontent.com/LaryBird12/geo-images/main/images/217.jpg</t>
  </si>
  <si>
    <t>https://raw.githubusercontent.com/LaryBird12/geo-images/main/images/218.jpg</t>
  </si>
  <si>
    <t>https://raw.githubusercontent.com/LaryBird12/geo-images/main/images/219.jpg</t>
  </si>
  <si>
    <t>https://raw.githubusercontent.com/LaryBird12/geo-images/main/images/220.jpg</t>
  </si>
  <si>
    <t>https://raw.githubusercontent.com/LaryBird12/geo-images/main/images/221.jpg</t>
  </si>
  <si>
    <t>https://raw.githubusercontent.com/LaryBird12/geo-images/main/images/222.jpg</t>
  </si>
  <si>
    <t>https://raw.githubusercontent.com/LaryBird12/geo-images/main/images/223.jpg</t>
  </si>
  <si>
    <t>https://raw.githubusercontent.com/LaryBird12/geo-images/main/images/224.jpg</t>
  </si>
  <si>
    <t>https://raw.githubusercontent.com/LaryBird12/geo-images/main/images/225.jpg</t>
  </si>
  <si>
    <t>https://raw.githubusercontent.com/LaryBird12/geo-images/main/images/226.jpg</t>
  </si>
  <si>
    <t>https://raw.githubusercontent.com/LaryBird12/geo-images/main/images/227.jpg</t>
  </si>
  <si>
    <t>https://raw.githubusercontent.com/LaryBird12/geo-images/main/images/228.jpg</t>
  </si>
  <si>
    <t>https://raw.githubusercontent.com/LaryBird12/geo-images/main/images/229.jpg</t>
  </si>
  <si>
    <t>https://raw.githubusercontent.com/LaryBird12/geo-images/main/images/230.jpg</t>
  </si>
  <si>
    <t>https://raw.githubusercontent.com/LaryBird12/geo-images/main/images/231.jpg</t>
  </si>
  <si>
    <t>https://raw.githubusercontent.com/LaryBird12/geo-images/main/images/232.jpg</t>
  </si>
  <si>
    <t>https://raw.githubusercontent.com/LaryBird12/geo-images/main/images/233.jpg</t>
  </si>
  <si>
    <t>https://raw.githubusercontent.com/LaryBird12/geo-images/main/images/234.jpg</t>
  </si>
  <si>
    <t>https://raw.githubusercontent.com/LaryBird12/geo-images/main/images/235.jpg</t>
  </si>
  <si>
    <t>https://raw.githubusercontent.com/LaryBird12/geo-images/main/images/236.jpg</t>
  </si>
  <si>
    <t>https://raw.githubusercontent.com/LaryBird12/geo-images/main/images/237.jpg</t>
  </si>
  <si>
    <t>https://raw.githubusercontent.com/LaryBird12/geo-images/main/images/238.jpg</t>
  </si>
  <si>
    <t>https://raw.githubusercontent.com/LaryBird12/geo-images/main/images/239.jpg</t>
  </si>
  <si>
    <t>https://raw.githubusercontent.com/LaryBird12/geo-images/main/images/240.jpg</t>
  </si>
  <si>
    <t>https://raw.githubusercontent.com/LaryBird12/geo-images/main/images/241.jpg</t>
  </si>
  <si>
    <t>https://raw.githubusercontent.com/LaryBird12/geo-images/main/images/242.jpg</t>
  </si>
  <si>
    <t>https://raw.githubusercontent.com/LaryBird12/geo-images/main/images/243.jpg</t>
  </si>
  <si>
    <t>https://raw.githubusercontent.com/LaryBird12/geo-images/main/images/244.jpg</t>
  </si>
  <si>
    <t>https://raw.githubusercontent.com/LaryBird12/geo-images/main/images/245.jpg</t>
  </si>
  <si>
    <t>https://raw.githubusercontent.com/LaryBird12/geo-images/main/images/246.jpg</t>
  </si>
  <si>
    <t>https://raw.githubusercontent.com/LaryBird12/geo-images/main/images/247.jpg</t>
  </si>
  <si>
    <t>https://raw.githubusercontent.com/LaryBird12/geo-images/main/images/248.jpg</t>
  </si>
  <si>
    <t>https://raw.githubusercontent.com/LaryBird12/geo-images/main/images/249.jpg</t>
  </si>
  <si>
    <t>https://raw.githubusercontent.com/LaryBird12/geo-images/main/images/250.jpg</t>
  </si>
  <si>
    <t>https://raw.githubusercontent.com/LaryBird12/geo-images/main/images/251.jpg</t>
  </si>
  <si>
    <t>https://raw.githubusercontent.com/LaryBird12/geo-images/main/images/252.jpg</t>
  </si>
  <si>
    <t>https://raw.githubusercontent.com/LaryBird12/geo-images/main/images/253.jpg</t>
  </si>
  <si>
    <t>https://raw.githubusercontent.com/LaryBird12/geo-images/main/images/254.jpg</t>
  </si>
  <si>
    <t>https://raw.githubusercontent.com/LaryBird12/geo-images/main/images/255.jpg</t>
  </si>
  <si>
    <t>Full Bag</t>
  </si>
  <si>
    <t>1/8 Bag</t>
  </si>
  <si>
    <t>Bag</t>
  </si>
  <si>
    <t>https://raw.githubusercontent.com/LaryBird12/geo-images/main/images/256.jpg</t>
  </si>
  <si>
    <t>https://raw.githubusercontent.com/LaryBird12/geo-images/main/images/257.jpg</t>
  </si>
  <si>
    <t>https://raw.githubusercontent.com/LaryBird12/geo-images/main/images/258.jpg</t>
  </si>
  <si>
    <t>https://raw.githubusercontent.com/LaryBird12/geo-images/main/images/259.jpg</t>
  </si>
  <si>
    <t>Has Image</t>
  </si>
  <si>
    <t>True</t>
  </si>
  <si>
    <t>False</t>
  </si>
  <si>
    <t xml:space="preserve">Records </t>
  </si>
  <si>
    <t>Spacer2</t>
  </si>
  <si>
    <t>Is On Trailer</t>
  </si>
  <si>
    <t>C01 Fasteners</t>
  </si>
  <si>
    <t>C02 Securing &amp; Supports</t>
  </si>
  <si>
    <t>C03 Electrical Fittings</t>
  </si>
  <si>
    <t>C04 Electrical Connections</t>
  </si>
  <si>
    <t>C05 Low Voltage</t>
  </si>
  <si>
    <t>C06 PEX</t>
  </si>
  <si>
    <t>C07 PEX Fittings</t>
  </si>
  <si>
    <t>C08 PVC Fittings</t>
  </si>
  <si>
    <t>C09 Push Fit Fittings</t>
  </si>
  <si>
    <t>C10 Press &amp; Black Iron</t>
  </si>
  <si>
    <t>T01 Blades</t>
  </si>
  <si>
    <t>T02 Cleanliness Supplies</t>
  </si>
  <si>
    <t>T03 Condensate</t>
  </si>
  <si>
    <t>T04 Ductwork</t>
  </si>
  <si>
    <t>T05 Electrical - Circuit Breakers</t>
  </si>
  <si>
    <t>T06 Electrical - Parts</t>
  </si>
  <si>
    <t>T07 Electrical - Wire &amp; Conduit</t>
  </si>
  <si>
    <t>T08 Finishing Bag</t>
  </si>
  <si>
    <t>T09 Ground Loop Seals</t>
  </si>
  <si>
    <t>T10 Ground Loop Tester Parts</t>
  </si>
  <si>
    <t>T11 HDPE Fittings</t>
  </si>
  <si>
    <t>T12 Hose Fittings &amp; Pipe</t>
  </si>
  <si>
    <t>T13 Insulation</t>
  </si>
  <si>
    <t>T14 Marketing</t>
  </si>
  <si>
    <t>T15 Piping</t>
  </si>
  <si>
    <t>T16 Safety Gear</t>
  </si>
  <si>
    <t>T17 Securing &amp; Support</t>
  </si>
  <si>
    <t>T18 Perishable Items</t>
  </si>
  <si>
    <t>T19 Wood</t>
  </si>
  <si>
    <t>https://raw.githubusercontent.com/LaryBird12/geo-images/main/images/260.jpg</t>
  </si>
  <si>
    <t>https://raw.githubusercontent.com/LaryBird12/geo-images/main/images/261.jpg</t>
  </si>
  <si>
    <t>https://raw.githubusercontent.com/LaryBird12/geo-images/main/images/262.jpg</t>
  </si>
  <si>
    <t>https://raw.githubusercontent.com/LaryBird12/geo-images/main/images/263.jpg</t>
  </si>
  <si>
    <t>https://raw.githubusercontent.com/LaryBird12/geo-images/main/images/264.jpg</t>
  </si>
  <si>
    <t>https://raw.githubusercontent.com/LaryBird12/geo-images/main/images/265.jpg</t>
  </si>
  <si>
    <t>https://raw.githubusercontent.com/LaryBird12/geo-images/main/images/266.jpg</t>
  </si>
  <si>
    <t>https://raw.githubusercontent.com/LaryBird12/geo-images/main/images/267.jpg</t>
  </si>
  <si>
    <t>https://raw.githubusercontent.com/LaryBird12/geo-images/main/images/268.jpg</t>
  </si>
  <si>
    <t>https://raw.githubusercontent.com/LaryBird12/geo-images/main/images/269.jpg</t>
  </si>
  <si>
    <t>https://raw.githubusercontent.com/LaryBird12/geo-images/main/images/270.jpg</t>
  </si>
  <si>
    <t>https://raw.githubusercontent.com/LaryBird12/geo-images/main/images/271.jpg</t>
  </si>
  <si>
    <t>https://raw.githubusercontent.com/LaryBird12/geo-images/main/images/272.jpg</t>
  </si>
  <si>
    <t>https://raw.githubusercontent.com/LaryBird12/geo-images/main/images/273.jpg</t>
  </si>
  <si>
    <t>https://raw.githubusercontent.com/LaryBird12/geo-images/main/images/274.jpg</t>
  </si>
  <si>
    <t>https://raw.githubusercontent.com/LaryBird12/geo-images/main/images/275.jpg</t>
  </si>
  <si>
    <t>https://raw.githubusercontent.com/LaryBird12/geo-images/main/images/276.jpg</t>
  </si>
  <si>
    <t>https://raw.githubusercontent.com/LaryBird12/geo-images/main/images/277.jpg</t>
  </si>
  <si>
    <t>https://raw.githubusercontent.com/LaryBird12/geo-images/main/images/278.jpg</t>
  </si>
  <si>
    <t>https://raw.githubusercontent.com/LaryBird12/geo-images/main/images/279.jpg</t>
  </si>
  <si>
    <t>https://raw.githubusercontent.com/LaryBird12/geo-images/main/images/281.jpg</t>
  </si>
  <si>
    <t>https://raw.githubusercontent.com/LaryBird12/geo-images/main/images/282.jpg</t>
  </si>
  <si>
    <t>https://raw.githubusercontent.com/LaryBird12/geo-images/main/images/283.jpg</t>
  </si>
  <si>
    <t>https://raw.githubusercontent.com/LaryBird12/geo-images/main/images/284.jpg</t>
  </si>
  <si>
    <t>https://raw.githubusercontent.com/LaryBird12/geo-images/main/images/285.jpg</t>
  </si>
  <si>
    <t>https://raw.githubusercontent.com/LaryBird12/geo-images/main/images/286.jpg</t>
  </si>
  <si>
    <t>https://raw.githubusercontent.com/LaryBird12/geo-images/main/images/287.jpg</t>
  </si>
  <si>
    <t>https://raw.githubusercontent.com/LaryBird12/geo-images/main/images/288.jpg</t>
  </si>
  <si>
    <t>https://raw.githubusercontent.com/LaryBird12/geo-images/main/images/289.jpg</t>
  </si>
  <si>
    <t>https://raw.githubusercontent.com/LaryBird12/geo-images/main/images/290.jpg</t>
  </si>
  <si>
    <t>https://raw.githubusercontent.com/LaryBird12/geo-images/main/images/291.jpg</t>
  </si>
  <si>
    <t>https://raw.githubusercontent.com/LaryBird12/geo-images/main/images/292.jpg</t>
  </si>
  <si>
    <t>https://raw.githubusercontent.com/LaryBird12/geo-images/main/images/293.jpg</t>
  </si>
  <si>
    <t>https://raw.githubusercontent.com/LaryBird12/geo-images/main/images/294.jpg</t>
  </si>
  <si>
    <t>https://raw.githubusercontent.com/LaryBird12/geo-images/main/images/295.jpg</t>
  </si>
  <si>
    <t>https://raw.githubusercontent.com/LaryBird12/geo-images/main/images/296.jpg</t>
  </si>
  <si>
    <t>https://raw.githubusercontent.com/LaryBird12/geo-images/main/images/297.jpg</t>
  </si>
  <si>
    <t>https://raw.githubusercontent.com/LaryBird12/geo-images/main/images/298.jpg</t>
  </si>
  <si>
    <t>https://raw.githubusercontent.com/LaryBird12/geo-images/main/images/299.jpg</t>
  </si>
  <si>
    <t>https://raw.githubusercontent.com/LaryBird12/geo-images/main/images/300.jpg</t>
  </si>
  <si>
    <t>https://raw.githubusercontent.com/LaryBird12/geo-images/main/images/301.jpg</t>
  </si>
  <si>
    <t>https://raw.githubusercontent.com/LaryBird12/geo-images/main/images/302.jpg</t>
  </si>
  <si>
    <t>https://raw.githubusercontent.com/LaryBird12/geo-images/main/images/303.jpg</t>
  </si>
  <si>
    <t>https://raw.githubusercontent.com/LaryBird12/geo-images/main/images/304.jpg</t>
  </si>
  <si>
    <t>https://raw.githubusercontent.com/LaryBird12/geo-images/main/images/305.jpg</t>
  </si>
  <si>
    <t>https://raw.githubusercontent.com/LaryBird12/geo-images/main/images/306.jpg</t>
  </si>
  <si>
    <t>https://raw.githubusercontent.com/LaryBird12/geo-images/main/images/307.jpg</t>
  </si>
  <si>
    <t>https://raw.githubusercontent.com/LaryBird12/geo-images/main/images/308.jpg</t>
  </si>
  <si>
    <t>https://raw.githubusercontent.com/LaryBird12/geo-images/main/images/309.jpg</t>
  </si>
  <si>
    <t>https://raw.githubusercontent.com/LaryBird12/geo-images/main/images/310.jpg</t>
  </si>
  <si>
    <t>https://raw.githubusercontent.com/LaryBird12/geo-images/main/images/311.jpg</t>
  </si>
  <si>
    <t>https://raw.githubusercontent.com/LaryBird12/geo-images/main/images/312.jpg</t>
  </si>
  <si>
    <t>https://raw.githubusercontent.com/LaryBird12/geo-images/main/images/313.jpg</t>
  </si>
  <si>
    <t>https://raw.githubusercontent.com/LaryBird12/geo-images/main/images/314.jpg</t>
  </si>
  <si>
    <t>https://raw.githubusercontent.com/LaryBird12/geo-images/main/images/315.jpg</t>
  </si>
  <si>
    <t>https://raw.githubusercontent.com/LaryBird12/geo-images/main/images/316.jpg</t>
  </si>
  <si>
    <t>https://raw.githubusercontent.com/LaryBird12/geo-images/main/images/317.jpg</t>
  </si>
  <si>
    <t>https://raw.githubusercontent.com/LaryBird12/geo-images/main/images/318.jpg</t>
  </si>
  <si>
    <t>https://raw.githubusercontent.com/LaryBird12/geo-images/main/images/319.jpg</t>
  </si>
  <si>
    <t>https://raw.githubusercontent.com/LaryBird12/geo-images/main/images/320.jpg</t>
  </si>
  <si>
    <t>https://raw.githubusercontent.com/LaryBird12/geo-images/main/images/321.jpg</t>
  </si>
  <si>
    <t>https://raw.githubusercontent.com/LaryBird12/geo-images/main/images/322.jpg</t>
  </si>
  <si>
    <t>https://raw.githubusercontent.com/LaryBird12/geo-images/main/images/323.jpg</t>
  </si>
  <si>
    <t>https://raw.githubusercontent.com/LaryBird12/geo-images/main/images/324.jpg</t>
  </si>
  <si>
    <t>https://raw.githubusercontent.com/LaryBird12/geo-images/main/images/325.jpg</t>
  </si>
  <si>
    <t>https://raw.githubusercontent.com/LaryBird12/geo-images/main/images/326.jpg</t>
  </si>
  <si>
    <t>https://raw.githubusercontent.com/LaryBird12/geo-images/main/images/327.jpg</t>
  </si>
  <si>
    <t>https://raw.githubusercontent.com/LaryBird12/geo-images/main/images/328.jpg</t>
  </si>
  <si>
    <t>https://raw.githubusercontent.com/LaryBird12/geo-images/main/images/329.jpg</t>
  </si>
  <si>
    <t>https://raw.githubusercontent.com/LaryBird12/geo-images/main/images/330.jpg</t>
  </si>
  <si>
    <t>https://raw.githubusercontent.com/LaryBird12/geo-images/main/images/331.jpg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</si>
</sst>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00"/>
  </numFmts>
  <fonts count="10" x14ac:knownFonts="1">
    <font>
      <sz val="11"/>
      <color theme="1"/>
      <name val="Calibri"/>
      <family val="2"/>
      <scheme val="minor"/>
    </font>
    <font>
      <sz val="8"/>
      <name val="Calibri"/>
      <family val="2"/>
      <scheme val="minor"/>
    </font>
    <font>
      <sz val="11"/>
      <color rgb="FF9C5700"/>
      <name val="Calibri"/>
      <family val="2"/>
      <scheme val="minor"/>
    </font>
    <font>
      <sz val="16"/>
      <color theme="1"/>
      <name val="Calibri"/>
      <family val="2"/>
      <scheme val="minor"/>
    </font>
    <font>
      <sz val="11"/>
      <color theme="1"/>
      <name val="Calibri"/>
      <family val="2"/>
      <scheme val="minor"/>
    </font>
    <font>
      <b/>
      <sz val="24"/>
      <color rgb="FFFF0000"/>
      <name val="Calibri"/>
      <family val="2"/>
      <scheme val="minor"/>
    </font>
    <font>
      <b/>
      <sz val="11"/>
      <color theme="1"/>
      <name val="Calibri"/>
      <family val="2"/>
      <scheme val="minor"/>
    </font>
    <font>
      <b/>
      <sz val="36"/>
      <color rgb="FFFF0000"/>
      <name val="Calibri"/>
      <family val="2"/>
      <scheme val="minor"/>
    </font>
    <font>
      <b/>
      <sz val="26"/>
      <color rgb="FFFF0000"/>
      <name val="Calibri"/>
      <family val="2"/>
      <scheme val="minor"/>
    </font>
    <font>
      <sz val="11"/>
      <color rgb="FF000000"/>
      <name val="Calibri"/>
      <family val="2"/>
    </font>
  </fonts>
  <fills count="5">
    <fill>
      <patternFill patternType="none"/>
    </fill>
    <fill>
      <patternFill patternType="gray125"/>
    </fill>
    <fill>
      <patternFill patternType="solid">
        <fgColor rgb="FFFFFF00"/>
        <bgColor indexed="64"/>
      </patternFill>
    </fill>
    <fill>
      <patternFill patternType="solid">
        <fgColor rgb="FFFFEB9C"/>
      </patternFill>
    </fill>
    <fill>
      <patternFill patternType="solid">
        <fgColor rgb="FFFFFFCC"/>
      </patternFill>
    </fill>
  </fills>
  <borders count="2">
    <border>
      <left/>
      <right/>
      <top/>
      <bottom/>
      <diagonal/>
    </border>
    <border>
      <left style="thin">
        <color rgb="FFB2B2B2"/>
      </left>
      <right style="thin">
        <color rgb="FFB2B2B2"/>
      </right>
      <top style="thin">
        <color rgb="FFB2B2B2"/>
      </top>
      <bottom style="thin">
        <color rgb="FFB2B2B2"/>
      </bottom>
      <diagonal/>
    </border>
  </borders>
  <cellStyleXfs count="3">
    <xf numFmtId="0" fontId="0" fillId="0" borderId="0"/>
    <xf numFmtId="0" fontId="2" fillId="3" borderId="0" applyNumberFormat="0" applyBorder="0" applyAlignment="0" applyProtection="0"/>
    <xf numFmtId="0" fontId="4" fillId="4" borderId="1" applyNumberFormat="0" applyFont="0" applyAlignment="0" applyProtection="0"/>
  </cellStyleXfs>
  <cellXfs count="19">
    <xf numFmtId="0" fontId="0" fillId="0" borderId="0" xfId="0"/>
    <xf numFmtId="164" fontId="0" fillId="0" borderId="0" xfId="0" applyNumberFormat="1"/>
    <xf numFmtId="0" fontId="0" fillId="0" borderId="0" xfId="0" applyAlignment="1">
      <alignment horizontal="left"/>
    </xf>
    <xf numFmtId="0" fontId="2" fillId="3" borderId="0" xfId="1"/>
    <xf numFmtId="0" fontId="0" fillId="0" borderId="0" xfId="0" applyAlignment="1">
      <alignment textRotation="45"/>
    </xf>
    <xf numFmtId="0" fontId="3" fillId="0" borderId="0" xfId="0" applyFont="1" applyAlignment="1">
      <alignment textRotation="45"/>
    </xf>
    <xf numFmtId="0" fontId="3" fillId="0" borderId="0" xfId="0" applyFont="1" applyAlignment="1">
      <alignment horizontal="left" textRotation="45"/>
    </xf>
    <xf numFmtId="164" fontId="3" fillId="0" borderId="0" xfId="0" applyNumberFormat="1" applyFont="1" applyAlignment="1">
      <alignment textRotation="45"/>
    </xf>
    <xf numFmtId="0" fontId="3" fillId="0" borderId="0" xfId="0" applyFont="1" applyAlignment="1">
      <alignment textRotation="45" wrapText="1"/>
    </xf>
    <xf numFmtId="0" fontId="0" fillId="4" borderId="1" xfId="2" applyFont="1"/>
    <xf numFmtId="0" fontId="5" fillId="2" borderId="0" xfId="0" applyFont="1" applyFill="1"/>
    <xf numFmtId="0" fontId="6" fillId="2" borderId="0" xfId="0" applyFont="1" applyFill="1"/>
    <xf numFmtId="0" fontId="7" fillId="2" borderId="0" xfId="0" applyFont="1" applyFill="1"/>
    <xf numFmtId="0" fontId="7" fillId="2" borderId="0" xfId="0" applyFont="1" applyFill="1" applyAlignment="1">
      <alignment horizontal="left"/>
    </xf>
    <xf numFmtId="0" fontId="6" fillId="2" borderId="0" xfId="0" applyFont="1" applyFill="1" applyAlignment="1">
      <alignment horizontal="left"/>
    </xf>
    <xf numFmtId="164" fontId="6" fillId="2" borderId="0" xfId="0" applyNumberFormat="1" applyFont="1" applyFill="1"/>
    <xf numFmtId="0" fontId="0" fillId="0" borderId="0" xfId="0" applyAlignment="1">
      <alignment horizontal="left" vertical="center"/>
    </xf>
    <xf numFmtId="0" fontId="8" fillId="2" borderId="0" xfId="0" applyFont="1" applyFill="1"/>
    <xf numFmtId="0" fontId="0" fillId="4" borderId="1" xfId="2" applyNumberFormat="1" applyFont="1"/>
  </cellXfs>
  <cellStyles count="3">
    <cellStyle name="Neutral" xfId="1" builtinId="28"/>
    <cellStyle name="Normal" xfId="0" builtinId="0"/>
    <cellStyle name="Note" xfId="2" builtinId="10"/>
  </cellStyles>
  <dxfs count="45">
    <dxf>
      <numFmt numFmtId="0" formatCode="General"/>
    </dxf>
    <dxf>
      <font>
        <b val="0"/>
        <i val="0"/>
        <strike val="0"/>
        <condense val="0"/>
        <extend val="0"/>
        <outline val="0"/>
        <shadow val="0"/>
        <u val="none"/>
        <vertAlign val="baseline"/>
        <sz val="11"/>
        <color theme="1"/>
        <name val="Calibri"/>
        <family val="2"/>
        <scheme val="minor"/>
      </font>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0" formatCode="General"/>
    </dxf>
    <dxf>
      <numFmt numFmtId="164" formatCode="&quot;$&quot;#,##0.0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protection locked="1" hidden="0"/>
    </dxf>
    <dxf>
      <font>
        <strike val="0"/>
        <outline val="0"/>
        <shadow val="0"/>
        <u val="none"/>
        <vertAlign val="baseline"/>
        <sz val="16"/>
        <color theme="1"/>
        <name val="Calibri"/>
        <family val="2"/>
        <scheme val="minor"/>
      </font>
      <alignment vertical="bottom" textRotation="45" indent="0" justifyLastLine="0" shrinkToFit="0" readingOrder="0"/>
    </dxf>
    <dxf>
      <font>
        <color rgb="FF006100"/>
      </font>
      <fill>
        <patternFill>
          <bgColor rgb="FFC6EFCE"/>
        </patternFill>
      </fill>
    </dxf>
    <dxf>
      <font>
        <color rgb="FF9C0006"/>
      </font>
      <fill>
        <patternFill>
          <bgColor rgb="FFFFC7CE"/>
        </patternFill>
      </fill>
    </dxf>
    <dxf>
      <alignment horizontal="general" vertical="bottom" textRotation="45" wrapText="0" indent="0" justifyLastLine="0" shrinkToFit="0" readingOrder="0"/>
    </dxf>
    <dxf>
      <numFmt numFmtId="0" formatCode="General"/>
    </dxf>
    <dxf>
      <numFmt numFmtId="0" formatCode="General"/>
    </dxf>
    <dxf>
      <numFmt numFmtId="0" formatCode="General"/>
    </dxf>
    <dxf>
      <numFmt numFmtId="0" formatCode="General"/>
    </dxf>
    <dxf>
      <alignment horizontal="general" vertical="bottom" textRotation="45" wrapText="0" indent="0" justifyLastLine="0" shrinkToFit="0" readingOrder="0"/>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4.xml"/><Relationship Id="rId13" Type="http://schemas.microsoft.com/office/2007/relationships/slicerCache" Target="slicerCaches/slicerCache9.xml"/><Relationship Id="rId18" Type="http://schemas.microsoft.com/office/2007/relationships/slicerCache" Target="slicerCaches/slicerCache14.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connections" Target="connections.xml"/><Relationship Id="rId7" Type="http://schemas.microsoft.com/office/2007/relationships/slicerCache" Target="slicerCaches/slicerCache3.xml"/><Relationship Id="rId12" Type="http://schemas.microsoft.com/office/2007/relationships/slicerCache" Target="slicerCaches/slicerCache8.xml"/><Relationship Id="rId17" Type="http://schemas.microsoft.com/office/2007/relationships/slicerCache" Target="slicerCaches/slicerCache13.xml"/><Relationship Id="rId25" Type="http://schemas.openxmlformats.org/officeDocument/2006/relationships/calcChain" Target="calcChain.xml"/><Relationship Id="rId2" Type="http://schemas.openxmlformats.org/officeDocument/2006/relationships/worksheet" Target="worksheets/sheet2.xml"/><Relationship Id="rId16" Type="http://schemas.microsoft.com/office/2007/relationships/slicerCache" Target="slicerCaches/slicerCache12.xml"/><Relationship Id="rId20" Type="http://schemas.openxmlformats.org/officeDocument/2006/relationships/theme" Target="theme/theme1.xml"/><Relationship Id="rId1" Type="http://schemas.openxmlformats.org/officeDocument/2006/relationships/worksheet" Target="worksheets/sheet1.xml"/><Relationship Id="rId6" Type="http://schemas.microsoft.com/office/2007/relationships/slicerCache" Target="slicerCaches/slicerCache2.xml"/><Relationship Id="rId11" Type="http://schemas.microsoft.com/office/2007/relationships/slicerCache" Target="slicerCaches/slicerCache7.xml"/><Relationship Id="rId24" Type="http://schemas.microsoft.com/office/2017/10/relationships/person" Target="persons/person.xml"/><Relationship Id="rId5" Type="http://schemas.microsoft.com/office/2007/relationships/slicerCache" Target="slicerCaches/slicerCache1.xml"/><Relationship Id="rId15" Type="http://schemas.microsoft.com/office/2007/relationships/slicerCache" Target="slicerCaches/slicerCache11.xml"/><Relationship Id="rId23" Type="http://schemas.openxmlformats.org/officeDocument/2006/relationships/sharedStrings" Target="sharedStrings.xml"/><Relationship Id="rId10" Type="http://schemas.microsoft.com/office/2007/relationships/slicerCache" Target="slicerCaches/slicerCache6.xml"/><Relationship Id="rId19" Type="http://schemas.microsoft.com/office/2007/relationships/slicerCache" Target="slicerCaches/slicerCache15.xml"/><Relationship Id="rId4" Type="http://schemas.openxmlformats.org/officeDocument/2006/relationships/worksheet" Target="worksheets/sheet4.xml"/><Relationship Id="rId9" Type="http://schemas.microsoft.com/office/2007/relationships/slicerCache" Target="slicerCaches/slicerCache5.xml"/><Relationship Id="rId14" Type="http://schemas.microsoft.com/office/2007/relationships/slicerCache" Target="slicerCaches/slicerCache10.xml"/><Relationship Id="rId22" Type="http://schemas.openxmlformats.org/officeDocument/2006/relationships/styles" Target="styles.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4C599241-6926-101B-9992-00000B65C6F9}"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8BD21D1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vmlDrawing3.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5" Type="http://schemas.openxmlformats.org/officeDocument/2006/relationships/image" Target="../media/image5.emf"/><Relationship Id="rId4"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editAs="absolute">
    <xdr:from>
      <xdr:col>9</xdr:col>
      <xdr:colOff>2148328</xdr:colOff>
      <xdr:row>0</xdr:row>
      <xdr:rowOff>0</xdr:rowOff>
    </xdr:from>
    <xdr:to>
      <xdr:col>12</xdr:col>
      <xdr:colOff>641</xdr:colOff>
      <xdr:row>1</xdr:row>
      <xdr:rowOff>44824</xdr:rowOff>
    </xdr:to>
    <mc:AlternateContent xmlns:mc="http://schemas.openxmlformats.org/markup-compatibility/2006" xmlns:sle15="http://schemas.microsoft.com/office/drawing/2012/slicer">
      <mc:Choice Requires="sle15">
        <xdr:graphicFrame macro="">
          <xdr:nvGraphicFramePr>
            <xdr:cNvPr id="11" name="Is Active Inventory Item">
              <a:extLst>
                <a:ext uri="{FF2B5EF4-FFF2-40B4-BE49-F238E27FC236}">
                  <a16:creationId xmlns:a16="http://schemas.microsoft.com/office/drawing/2014/main" id="{769EA0E9-B439-27BF-F19A-71B1D16FFCFE}"/>
                </a:ext>
              </a:extLst>
            </xdr:cNvPr>
            <xdr:cNvGraphicFramePr/>
          </xdr:nvGraphicFramePr>
          <xdr:xfrm>
            <a:off x="0" y="0"/>
            <a:ext cx="0" cy="0"/>
          </xdr:xfrm>
          <a:graphic>
            <a:graphicData uri="http://schemas.microsoft.com/office/drawing/2010/slicer">
              <sle:slicer xmlns:sle="http://schemas.microsoft.com/office/drawing/2010/slicer" name="Is Active Inventory Item"/>
            </a:graphicData>
          </a:graphic>
        </xdr:graphicFrame>
      </mc:Choice>
      <mc:Fallback xmlns="">
        <xdr:sp macro="" textlink="">
          <xdr:nvSpPr>
            <xdr:cNvPr id="0" name=""/>
            <xdr:cNvSpPr>
              <a:spLocks noTextEdit="1"/>
            </xdr:cNvSpPr>
          </xdr:nvSpPr>
          <xdr:spPr>
            <a:xfrm>
              <a:off x="12073539" y="0"/>
              <a:ext cx="1828800" cy="697966"/>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0</xdr:colOff>
      <xdr:row>0</xdr:row>
      <xdr:rowOff>16328</xdr:rowOff>
    </xdr:from>
    <xdr:to>
      <xdr:col>1</xdr:col>
      <xdr:colOff>1681453</xdr:colOff>
      <xdr:row>1</xdr:row>
      <xdr:rowOff>0</xdr:rowOff>
    </xdr:to>
    <mc:AlternateContent xmlns:mc="http://schemas.openxmlformats.org/markup-compatibility/2006" xmlns:sle15="http://schemas.microsoft.com/office/drawing/2012/slicer">
      <mc:Choice Requires="sle15">
        <xdr:graphicFrame macro="">
          <xdr:nvGraphicFramePr>
            <xdr:cNvPr id="2" name="Is Unit Starting Ductwork 1">
              <a:extLst>
                <a:ext uri="{FF2B5EF4-FFF2-40B4-BE49-F238E27FC236}">
                  <a16:creationId xmlns:a16="http://schemas.microsoft.com/office/drawing/2014/main" id="{2E0A9898-F161-4C13-96F6-4B4FB69CBD67}"/>
                </a:ext>
              </a:extLst>
            </xdr:cNvPr>
            <xdr:cNvGraphicFramePr/>
          </xdr:nvGraphicFramePr>
          <xdr:xfrm>
            <a:off x="0" y="0"/>
            <a:ext cx="0" cy="0"/>
          </xdr:xfrm>
          <a:graphic>
            <a:graphicData uri="http://schemas.microsoft.com/office/drawing/2010/slicer">
              <sle:slicer xmlns:sle="http://schemas.microsoft.com/office/drawing/2010/slicer" name="Is Unit Starting Ductwork 1"/>
            </a:graphicData>
          </a:graphic>
        </xdr:graphicFrame>
      </mc:Choice>
      <mc:Fallback xmlns="">
        <xdr:sp macro="" textlink="">
          <xdr:nvSpPr>
            <xdr:cNvPr id="0" name=""/>
            <xdr:cNvSpPr>
              <a:spLocks noTextEdit="1"/>
            </xdr:cNvSpPr>
          </xdr:nvSpPr>
          <xdr:spPr>
            <a:xfrm>
              <a:off x="0" y="16328"/>
              <a:ext cx="2187319" cy="636814"/>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xdr:col>
      <xdr:colOff>1659682</xdr:colOff>
      <xdr:row>0</xdr:row>
      <xdr:rowOff>0</xdr:rowOff>
    </xdr:from>
    <xdr:to>
      <xdr:col>3</xdr:col>
      <xdr:colOff>350156</xdr:colOff>
      <xdr:row>1</xdr:row>
      <xdr:rowOff>0</xdr:rowOff>
    </xdr:to>
    <mc:AlternateContent xmlns:mc="http://schemas.openxmlformats.org/markup-compatibility/2006" xmlns:sle15="http://schemas.microsoft.com/office/drawing/2012/slicer">
      <mc:Choice Requires="sle15">
        <xdr:graphicFrame macro="">
          <xdr:nvGraphicFramePr>
            <xdr:cNvPr id="3" name="Is Ductwork 1">
              <a:extLst>
                <a:ext uri="{FF2B5EF4-FFF2-40B4-BE49-F238E27FC236}">
                  <a16:creationId xmlns:a16="http://schemas.microsoft.com/office/drawing/2014/main" id="{7D5DC5A0-F8B4-48B4-9AA4-DEC5057BE30E}"/>
                </a:ext>
              </a:extLst>
            </xdr:cNvPr>
            <xdr:cNvGraphicFramePr/>
          </xdr:nvGraphicFramePr>
          <xdr:xfrm>
            <a:off x="0" y="0"/>
            <a:ext cx="0" cy="0"/>
          </xdr:xfrm>
          <a:graphic>
            <a:graphicData uri="http://schemas.microsoft.com/office/drawing/2010/slicer">
              <sle:slicer xmlns:sle="http://schemas.microsoft.com/office/drawing/2010/slicer" name="Is Ductwork 1"/>
            </a:graphicData>
          </a:graphic>
        </xdr:graphicFrame>
      </mc:Choice>
      <mc:Fallback xmlns="">
        <xdr:sp macro="" textlink="">
          <xdr:nvSpPr>
            <xdr:cNvPr id="0" name=""/>
            <xdr:cNvSpPr>
              <a:spLocks noTextEdit="1"/>
            </xdr:cNvSpPr>
          </xdr:nvSpPr>
          <xdr:spPr>
            <a:xfrm>
              <a:off x="2165548" y="0"/>
              <a:ext cx="2218726" cy="653142"/>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3</xdr:col>
      <xdr:colOff>344713</xdr:colOff>
      <xdr:row>0</xdr:row>
      <xdr:rowOff>0</xdr:rowOff>
    </xdr:from>
    <xdr:to>
      <xdr:col>5</xdr:col>
      <xdr:colOff>776939</xdr:colOff>
      <xdr:row>1</xdr:row>
      <xdr:rowOff>27215</xdr:rowOff>
    </xdr:to>
    <mc:AlternateContent xmlns:mc="http://schemas.openxmlformats.org/markup-compatibility/2006" xmlns:sle15="http://schemas.microsoft.com/office/drawing/2012/slicer">
      <mc:Choice Requires="sle15">
        <xdr:graphicFrame macro="">
          <xdr:nvGraphicFramePr>
            <xdr:cNvPr id="4" name="Is Warehouse 1">
              <a:extLst>
                <a:ext uri="{FF2B5EF4-FFF2-40B4-BE49-F238E27FC236}">
                  <a16:creationId xmlns:a16="http://schemas.microsoft.com/office/drawing/2014/main" id="{99F3D526-FE52-43B2-BE2C-55FE68F7520F}"/>
                </a:ext>
              </a:extLst>
            </xdr:cNvPr>
            <xdr:cNvGraphicFramePr/>
          </xdr:nvGraphicFramePr>
          <xdr:xfrm>
            <a:off x="0" y="0"/>
            <a:ext cx="0" cy="0"/>
          </xdr:xfrm>
          <a:graphic>
            <a:graphicData uri="http://schemas.microsoft.com/office/drawing/2010/slicer">
              <sle:slicer xmlns:sle="http://schemas.microsoft.com/office/drawing/2010/slicer" name="Is Warehouse 1"/>
            </a:graphicData>
          </a:graphic>
        </xdr:graphicFrame>
      </mc:Choice>
      <mc:Fallback xmlns="">
        <xdr:sp macro="" textlink="">
          <xdr:nvSpPr>
            <xdr:cNvPr id="0" name=""/>
            <xdr:cNvSpPr>
              <a:spLocks noTextEdit="1"/>
            </xdr:cNvSpPr>
          </xdr:nvSpPr>
          <xdr:spPr>
            <a:xfrm>
              <a:off x="4378831" y="0"/>
              <a:ext cx="2193151" cy="680357"/>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7</xdr:col>
      <xdr:colOff>375600</xdr:colOff>
      <xdr:row>0</xdr:row>
      <xdr:rowOff>0</xdr:rowOff>
    </xdr:from>
    <xdr:to>
      <xdr:col>9</xdr:col>
      <xdr:colOff>330582</xdr:colOff>
      <xdr:row>1</xdr:row>
      <xdr:rowOff>48986</xdr:rowOff>
    </xdr:to>
    <mc:AlternateContent xmlns:mc="http://schemas.openxmlformats.org/markup-compatibility/2006" xmlns:sle15="http://schemas.microsoft.com/office/drawing/2012/slicer">
      <mc:Choice Requires="sle15">
        <xdr:graphicFrame macro="">
          <xdr:nvGraphicFramePr>
            <xdr:cNvPr id="5" name="Is Trailer Stock 1">
              <a:extLst>
                <a:ext uri="{FF2B5EF4-FFF2-40B4-BE49-F238E27FC236}">
                  <a16:creationId xmlns:a16="http://schemas.microsoft.com/office/drawing/2014/main" id="{FD30A1D6-B186-4D29-863F-6E34CFC64C14}"/>
                </a:ext>
              </a:extLst>
            </xdr:cNvPr>
            <xdr:cNvGraphicFramePr/>
          </xdr:nvGraphicFramePr>
          <xdr:xfrm>
            <a:off x="0" y="0"/>
            <a:ext cx="0" cy="0"/>
          </xdr:xfrm>
          <a:graphic>
            <a:graphicData uri="http://schemas.microsoft.com/office/drawing/2010/slicer">
              <sle:slicer xmlns:sle="http://schemas.microsoft.com/office/drawing/2010/slicer" name="Is Trailer Stock 1"/>
            </a:graphicData>
          </a:graphic>
        </xdr:graphicFrame>
      </mc:Choice>
      <mc:Fallback xmlns="">
        <xdr:sp macro="" textlink="">
          <xdr:nvSpPr>
            <xdr:cNvPr id="0" name=""/>
            <xdr:cNvSpPr>
              <a:spLocks noTextEdit="1"/>
            </xdr:cNvSpPr>
          </xdr:nvSpPr>
          <xdr:spPr>
            <a:xfrm>
              <a:off x="8418223" y="0"/>
              <a:ext cx="1843973" cy="702128"/>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5</xdr:col>
      <xdr:colOff>787825</xdr:colOff>
      <xdr:row>0</xdr:row>
      <xdr:rowOff>0</xdr:rowOff>
    </xdr:from>
    <xdr:to>
      <xdr:col>7</xdr:col>
      <xdr:colOff>370158</xdr:colOff>
      <xdr:row>1</xdr:row>
      <xdr:rowOff>43543</xdr:rowOff>
    </xdr:to>
    <mc:AlternateContent xmlns:mc="http://schemas.openxmlformats.org/markup-compatibility/2006" xmlns:sle15="http://schemas.microsoft.com/office/drawing/2012/slicer">
      <mc:Choice Requires="sle15">
        <xdr:graphicFrame macro="">
          <xdr:nvGraphicFramePr>
            <xdr:cNvPr id="6" name="Is Case Stock 1">
              <a:extLst>
                <a:ext uri="{FF2B5EF4-FFF2-40B4-BE49-F238E27FC236}">
                  <a16:creationId xmlns:a16="http://schemas.microsoft.com/office/drawing/2014/main" id="{CA547150-4779-4BC0-9BDA-3748958818EF}"/>
                </a:ext>
              </a:extLst>
            </xdr:cNvPr>
            <xdr:cNvGraphicFramePr/>
          </xdr:nvGraphicFramePr>
          <xdr:xfrm>
            <a:off x="0" y="0"/>
            <a:ext cx="0" cy="0"/>
          </xdr:xfrm>
          <a:graphic>
            <a:graphicData uri="http://schemas.microsoft.com/office/drawing/2010/slicer">
              <sle:slicer xmlns:sle="http://schemas.microsoft.com/office/drawing/2010/slicer" name="Is Case Stock 1"/>
            </a:graphicData>
          </a:graphic>
        </xdr:graphicFrame>
      </mc:Choice>
      <mc:Fallback xmlns="">
        <xdr:sp macro="" textlink="">
          <xdr:nvSpPr>
            <xdr:cNvPr id="0" name=""/>
            <xdr:cNvSpPr>
              <a:spLocks noTextEdit="1"/>
            </xdr:cNvSpPr>
          </xdr:nvSpPr>
          <xdr:spPr>
            <a:xfrm>
              <a:off x="6582868" y="0"/>
              <a:ext cx="1829913" cy="69668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9</xdr:col>
      <xdr:colOff>338155</xdr:colOff>
      <xdr:row>0</xdr:row>
      <xdr:rowOff>0</xdr:rowOff>
    </xdr:from>
    <xdr:to>
      <xdr:col>9</xdr:col>
      <xdr:colOff>2139055</xdr:colOff>
      <xdr:row>1</xdr:row>
      <xdr:rowOff>18932</xdr:rowOff>
    </xdr:to>
    <mc:AlternateContent xmlns:mc="http://schemas.openxmlformats.org/markup-compatibility/2006" xmlns:sle15="http://schemas.microsoft.com/office/drawing/2012/slicer">
      <mc:Choice Requires="sle15">
        <xdr:graphicFrame macro="">
          <xdr:nvGraphicFramePr>
            <xdr:cNvPr id="7" name="Is GIM 1">
              <a:extLst>
                <a:ext uri="{FF2B5EF4-FFF2-40B4-BE49-F238E27FC236}">
                  <a16:creationId xmlns:a16="http://schemas.microsoft.com/office/drawing/2014/main" id="{FF9EC745-DEDB-4E62-BCB1-B16C8F25FB50}"/>
                </a:ext>
              </a:extLst>
            </xdr:cNvPr>
            <xdr:cNvGraphicFramePr/>
          </xdr:nvGraphicFramePr>
          <xdr:xfrm>
            <a:off x="0" y="0"/>
            <a:ext cx="0" cy="0"/>
          </xdr:xfrm>
          <a:graphic>
            <a:graphicData uri="http://schemas.microsoft.com/office/drawing/2010/slicer">
              <sle:slicer xmlns:sle="http://schemas.microsoft.com/office/drawing/2010/slicer" name="Is GIM 1"/>
            </a:graphicData>
          </a:graphic>
        </xdr:graphicFrame>
      </mc:Choice>
      <mc:Fallback xmlns="">
        <xdr:sp macro="" textlink="">
          <xdr:nvSpPr>
            <xdr:cNvPr id="0" name=""/>
            <xdr:cNvSpPr>
              <a:spLocks noTextEdit="1"/>
            </xdr:cNvSpPr>
          </xdr:nvSpPr>
          <xdr:spPr>
            <a:xfrm>
              <a:off x="10269769" y="0"/>
              <a:ext cx="1794497" cy="672074"/>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10174</xdr:colOff>
      <xdr:row>0</xdr:row>
      <xdr:rowOff>629476</xdr:rowOff>
    </xdr:from>
    <xdr:to>
      <xdr:col>4</xdr:col>
      <xdr:colOff>218581</xdr:colOff>
      <xdr:row>2</xdr:row>
      <xdr:rowOff>0</xdr:rowOff>
    </xdr:to>
    <mc:AlternateContent xmlns:mc="http://schemas.openxmlformats.org/markup-compatibility/2006" xmlns:sle15="http://schemas.microsoft.com/office/drawing/2012/slicer">
      <mc:Choice Requires="sle15">
        <xdr:graphicFrame macro="">
          <xdr:nvGraphicFramePr>
            <xdr:cNvPr id="8" name="Category 3">
              <a:extLst>
                <a:ext uri="{FF2B5EF4-FFF2-40B4-BE49-F238E27FC236}">
                  <a16:creationId xmlns:a16="http://schemas.microsoft.com/office/drawing/2014/main" id="{989006B2-E595-4F5E-B9D6-F5F251096ADF}"/>
                </a:ext>
              </a:extLst>
            </xdr:cNvPr>
            <xdr:cNvGraphicFramePr/>
          </xdr:nvGraphicFramePr>
          <xdr:xfrm>
            <a:off x="0" y="0"/>
            <a:ext cx="0" cy="0"/>
          </xdr:xfrm>
          <a:graphic>
            <a:graphicData uri="http://schemas.microsoft.com/office/drawing/2010/slicer">
              <sle:slicer xmlns:sle="http://schemas.microsoft.com/office/drawing/2010/slicer" name="Category 3"/>
            </a:graphicData>
          </a:graphic>
        </xdr:graphicFrame>
      </mc:Choice>
      <mc:Fallback xmlns="">
        <xdr:sp macro="" textlink="">
          <xdr:nvSpPr>
            <xdr:cNvPr id="0" name=""/>
            <xdr:cNvSpPr>
              <a:spLocks noTextEdit="1"/>
            </xdr:cNvSpPr>
          </xdr:nvSpPr>
          <xdr:spPr>
            <a:xfrm>
              <a:off x="10174" y="629477"/>
              <a:ext cx="5119785" cy="2039888"/>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4</xdr:col>
      <xdr:colOff>229423</xdr:colOff>
      <xdr:row>0</xdr:row>
      <xdr:rowOff>621792</xdr:rowOff>
    </xdr:from>
    <xdr:to>
      <xdr:col>10</xdr:col>
      <xdr:colOff>121663</xdr:colOff>
      <xdr:row>2</xdr:row>
      <xdr:rowOff>0</xdr:rowOff>
    </xdr:to>
    <mc:AlternateContent xmlns:mc="http://schemas.openxmlformats.org/markup-compatibility/2006" xmlns:sle15="http://schemas.microsoft.com/office/drawing/2012/slicer">
      <mc:Choice Requires="sle15">
        <xdr:graphicFrame macro="">
          <xdr:nvGraphicFramePr>
            <xdr:cNvPr id="9" name="Category 4">
              <a:extLst>
                <a:ext uri="{FF2B5EF4-FFF2-40B4-BE49-F238E27FC236}">
                  <a16:creationId xmlns:a16="http://schemas.microsoft.com/office/drawing/2014/main" id="{D5648597-6EAC-4555-835E-12218A097A80}"/>
                </a:ext>
              </a:extLst>
            </xdr:cNvPr>
            <xdr:cNvGraphicFramePr/>
          </xdr:nvGraphicFramePr>
          <xdr:xfrm>
            <a:off x="0" y="0"/>
            <a:ext cx="0" cy="0"/>
          </xdr:xfrm>
          <a:graphic>
            <a:graphicData uri="http://schemas.microsoft.com/office/drawing/2010/slicer">
              <sle:slicer xmlns:sle="http://schemas.microsoft.com/office/drawing/2010/slicer" name="Category 4"/>
            </a:graphicData>
          </a:graphic>
        </xdr:graphicFrame>
      </mc:Choice>
      <mc:Fallback xmlns="">
        <xdr:sp macro="" textlink="">
          <xdr:nvSpPr>
            <xdr:cNvPr id="0" name=""/>
            <xdr:cNvSpPr>
              <a:spLocks noTextEdit="1"/>
            </xdr:cNvSpPr>
          </xdr:nvSpPr>
          <xdr:spPr>
            <a:xfrm>
              <a:off x="5140801" y="621792"/>
              <a:ext cx="7352156" cy="2061216"/>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mc:AlternateContent xmlns:mc="http://schemas.openxmlformats.org/markup-compatibility/2006">
    <mc:Choice xmlns:a14="http://schemas.microsoft.com/office/drawing/2010/main" Requires="a14">
      <xdr:twoCellAnchor>
        <xdr:from>
          <xdr:col>12</xdr:col>
          <xdr:colOff>109538</xdr:colOff>
          <xdr:row>1</xdr:row>
          <xdr:rowOff>385763</xdr:rowOff>
        </xdr:from>
        <xdr:to>
          <xdr:col>14</xdr:col>
          <xdr:colOff>0</xdr:colOff>
          <xdr:row>1</xdr:row>
          <xdr:rowOff>809625</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000-0000011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Button 1</a:t>
              </a:r>
            </a:p>
          </xdr:txBody>
        </xdr:sp>
        <xdr:clientData fPrintsWithSheet="0"/>
      </xdr:twoCellAnchor>
    </mc:Choice>
    <mc:Fallback/>
  </mc:AlternateContent>
  <xdr:twoCellAnchor editAs="absolute">
    <xdr:from>
      <xdr:col>10</xdr:col>
      <xdr:colOff>124864</xdr:colOff>
      <xdr:row>0</xdr:row>
      <xdr:rowOff>617282</xdr:rowOff>
    </xdr:from>
    <xdr:to>
      <xdr:col>27</xdr:col>
      <xdr:colOff>107577</xdr:colOff>
      <xdr:row>2</xdr:row>
      <xdr:rowOff>0</xdr:rowOff>
    </xdr:to>
    <mc:AlternateContent xmlns:mc="http://schemas.openxmlformats.org/markup-compatibility/2006" xmlns:sle15="http://schemas.microsoft.com/office/drawing/2012/slicer">
      <mc:Choice Requires="sle15">
        <xdr:graphicFrame macro="">
          <xdr:nvGraphicFramePr>
            <xdr:cNvPr id="10" name="Category 3 1">
              <a:extLst>
                <a:ext uri="{FF2B5EF4-FFF2-40B4-BE49-F238E27FC236}">
                  <a16:creationId xmlns:a16="http://schemas.microsoft.com/office/drawing/2014/main" id="{965EDAAA-0A75-AD5B-1BC8-FEE802EE32A7}"/>
                </a:ext>
              </a:extLst>
            </xdr:cNvPr>
            <xdr:cNvGraphicFramePr/>
          </xdr:nvGraphicFramePr>
          <xdr:xfrm>
            <a:off x="0" y="0"/>
            <a:ext cx="0" cy="0"/>
          </xdr:xfrm>
          <a:graphic>
            <a:graphicData uri="http://schemas.microsoft.com/office/drawing/2010/slicer">
              <sle:slicer xmlns:sle="http://schemas.microsoft.com/office/drawing/2010/slicer" name="Category 3 1"/>
            </a:graphicData>
          </a:graphic>
        </xdr:graphicFrame>
      </mc:Choice>
      <mc:Fallback xmlns="">
        <xdr:sp macro="" textlink="">
          <xdr:nvSpPr>
            <xdr:cNvPr id="0" name=""/>
            <xdr:cNvSpPr>
              <a:spLocks noTextEdit="1"/>
            </xdr:cNvSpPr>
          </xdr:nvSpPr>
          <xdr:spPr>
            <a:xfrm>
              <a:off x="12496158" y="617282"/>
              <a:ext cx="6155553" cy="206572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mc:AlternateContent xmlns:mc="http://schemas.openxmlformats.org/markup-compatibility/2006">
    <mc:Choice xmlns:a14="http://schemas.microsoft.com/office/drawing/2010/main" Requires="a14">
      <xdr:twoCellAnchor>
        <xdr:from>
          <xdr:col>12</xdr:col>
          <xdr:colOff>147638</xdr:colOff>
          <xdr:row>0</xdr:row>
          <xdr:rowOff>114300</xdr:rowOff>
        </xdr:from>
        <xdr:to>
          <xdr:col>23</xdr:col>
          <xdr:colOff>314325</xdr:colOff>
          <xdr:row>0</xdr:row>
          <xdr:rowOff>495300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000-0000031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Button 3</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xdr:col>
      <xdr:colOff>956413</xdr:colOff>
      <xdr:row>0</xdr:row>
      <xdr:rowOff>941614</xdr:rowOff>
    </xdr:to>
    <mc:AlternateContent xmlns:mc="http://schemas.openxmlformats.org/markup-compatibility/2006" xmlns:sle15="http://schemas.microsoft.com/office/drawing/2012/slicer">
      <mc:Choice Requires="sle15">
        <xdr:graphicFrame macro="">
          <xdr:nvGraphicFramePr>
            <xdr:cNvPr id="2" name="Trailer Stock">
              <a:extLst>
                <a:ext uri="{FF2B5EF4-FFF2-40B4-BE49-F238E27FC236}">
                  <a16:creationId xmlns:a16="http://schemas.microsoft.com/office/drawing/2014/main" id="{3A444217-63F0-A129-1F39-84E8194ECA2D}"/>
                </a:ext>
              </a:extLst>
            </xdr:cNvPr>
            <xdr:cNvGraphicFramePr/>
          </xdr:nvGraphicFramePr>
          <xdr:xfrm>
            <a:off x="0" y="0"/>
            <a:ext cx="0" cy="0"/>
          </xdr:xfrm>
          <a:graphic>
            <a:graphicData uri="http://schemas.microsoft.com/office/drawing/2010/slicer">
              <sle:slicer xmlns:sle="http://schemas.microsoft.com/office/drawing/2010/slicer" name="Trailer Stock"/>
            </a:graphicData>
          </a:graphic>
        </xdr:graphicFrame>
      </mc:Choice>
      <mc:Fallback xmlns="">
        <xdr:sp macro="" textlink="">
          <xdr:nvSpPr>
            <xdr:cNvPr id="0" name=""/>
            <xdr:cNvSpPr>
              <a:spLocks noTextEdit="1"/>
            </xdr:cNvSpPr>
          </xdr:nvSpPr>
          <xdr:spPr>
            <a:xfrm>
              <a:off x="0" y="0"/>
              <a:ext cx="1458686" cy="941614"/>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0</xdr:colOff>
      <xdr:row>0</xdr:row>
      <xdr:rowOff>947056</xdr:rowOff>
    </xdr:from>
    <xdr:to>
      <xdr:col>1</xdr:col>
      <xdr:colOff>956413</xdr:colOff>
      <xdr:row>0</xdr:row>
      <xdr:rowOff>1894114</xdr:rowOff>
    </xdr:to>
    <mc:AlternateContent xmlns:mc="http://schemas.openxmlformats.org/markup-compatibility/2006" xmlns:sle15="http://schemas.microsoft.com/office/drawing/2012/slicer">
      <mc:Choice Requires="sle15">
        <xdr:graphicFrame macro="">
          <xdr:nvGraphicFramePr>
            <xdr:cNvPr id="3" name="Case Stock">
              <a:extLst>
                <a:ext uri="{FF2B5EF4-FFF2-40B4-BE49-F238E27FC236}">
                  <a16:creationId xmlns:a16="http://schemas.microsoft.com/office/drawing/2014/main" id="{7D2C8056-7BDA-4623-A79E-302A24ADE489}"/>
                </a:ext>
              </a:extLst>
            </xdr:cNvPr>
            <xdr:cNvGraphicFramePr/>
          </xdr:nvGraphicFramePr>
          <xdr:xfrm>
            <a:off x="0" y="0"/>
            <a:ext cx="0" cy="0"/>
          </xdr:xfrm>
          <a:graphic>
            <a:graphicData uri="http://schemas.microsoft.com/office/drawing/2010/slicer">
              <sle:slicer xmlns:sle="http://schemas.microsoft.com/office/drawing/2010/slicer" name="Case Stock"/>
            </a:graphicData>
          </a:graphic>
        </xdr:graphicFrame>
      </mc:Choice>
      <mc:Fallback xmlns="">
        <xdr:sp macro="" textlink="">
          <xdr:nvSpPr>
            <xdr:cNvPr id="0" name=""/>
            <xdr:cNvSpPr>
              <a:spLocks noTextEdit="1"/>
            </xdr:cNvSpPr>
          </xdr:nvSpPr>
          <xdr:spPr>
            <a:xfrm>
              <a:off x="0" y="947056"/>
              <a:ext cx="1458686" cy="947058"/>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xdr:col>
      <xdr:colOff>994510</xdr:colOff>
      <xdr:row>0</xdr:row>
      <xdr:rowOff>1</xdr:rowOff>
    </xdr:from>
    <xdr:to>
      <xdr:col>17</xdr:col>
      <xdr:colOff>188345</xdr:colOff>
      <xdr:row>0</xdr:row>
      <xdr:rowOff>2373087</xdr:rowOff>
    </xdr:to>
    <mc:AlternateContent xmlns:mc="http://schemas.openxmlformats.org/markup-compatibility/2006" xmlns:sle15="http://schemas.microsoft.com/office/drawing/2012/slicer">
      <mc:Choice Requires="sle15">
        <xdr:graphicFrame macro="">
          <xdr:nvGraphicFramePr>
            <xdr:cNvPr id="4" name="Slicer">
              <a:extLst>
                <a:ext uri="{FF2B5EF4-FFF2-40B4-BE49-F238E27FC236}">
                  <a16:creationId xmlns:a16="http://schemas.microsoft.com/office/drawing/2014/main" id="{CA2186CD-A472-51DF-E916-8AE5F88E11CA}"/>
                </a:ext>
              </a:extLst>
            </xdr:cNvPr>
            <xdr:cNvGraphicFramePr/>
          </xdr:nvGraphicFramePr>
          <xdr:xfrm>
            <a:off x="0" y="0"/>
            <a:ext cx="0" cy="0"/>
          </xdr:xfrm>
          <a:graphic>
            <a:graphicData uri="http://schemas.microsoft.com/office/drawing/2010/slicer">
              <sle:slicer xmlns:sle="http://schemas.microsoft.com/office/drawing/2010/slicer" name="Slicer"/>
            </a:graphicData>
          </a:graphic>
        </xdr:graphicFrame>
      </mc:Choice>
      <mc:Fallback xmlns="">
        <xdr:sp macro="" textlink="">
          <xdr:nvSpPr>
            <xdr:cNvPr id="0" name=""/>
            <xdr:cNvSpPr>
              <a:spLocks noTextEdit="1"/>
            </xdr:cNvSpPr>
          </xdr:nvSpPr>
          <xdr:spPr>
            <a:xfrm>
              <a:off x="1496783" y="1"/>
              <a:ext cx="7897587" cy="2373086"/>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100013</xdr:colOff>
          <xdr:row>0</xdr:row>
          <xdr:rowOff>1919288</xdr:rowOff>
        </xdr:from>
        <xdr:to>
          <xdr:col>1</xdr:col>
          <xdr:colOff>776288</xdr:colOff>
          <xdr:row>1</xdr:row>
          <xdr:rowOff>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100-0000011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Clear Filters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157163</xdr:colOff>
          <xdr:row>1</xdr:row>
          <xdr:rowOff>38100</xdr:rowOff>
        </xdr:from>
        <xdr:to>
          <xdr:col>2</xdr:col>
          <xdr:colOff>0</xdr:colOff>
          <xdr:row>7</xdr:row>
          <xdr:rowOff>200025</xdr:rowOff>
        </xdr:to>
        <xdr:sp macro="" textlink="">
          <xdr:nvSpPr>
            <xdr:cNvPr id="7169" name="ImagePart" hidden="1">
              <a:extLst>
                <a:ext uri="{63B3BB69-23CF-44E3-9099-C40C66FF867C}">
                  <a14:compatExt spid="_x0000_s7169"/>
                </a:ext>
                <a:ext uri="{FF2B5EF4-FFF2-40B4-BE49-F238E27FC236}">
                  <a16:creationId xmlns:a16="http://schemas.microsoft.com/office/drawing/2014/main" id="{00000000-0008-0000-0200-000001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2614613</xdr:colOff>
          <xdr:row>4</xdr:row>
          <xdr:rowOff>14288</xdr:rowOff>
        </xdr:from>
        <xdr:to>
          <xdr:col>4</xdr:col>
          <xdr:colOff>1247775</xdr:colOff>
          <xdr:row>5</xdr:row>
          <xdr:rowOff>200025</xdr:rowOff>
        </xdr:to>
        <xdr:sp macro="" textlink="">
          <xdr:nvSpPr>
            <xdr:cNvPr id="7171" name="CommandButtonPrevious" hidden="1">
              <a:extLst>
                <a:ext uri="{63B3BB69-23CF-44E3-9099-C40C66FF867C}">
                  <a14:compatExt spid="_x0000_s7171"/>
                </a:ext>
                <a:ext uri="{FF2B5EF4-FFF2-40B4-BE49-F238E27FC236}">
                  <a16:creationId xmlns:a16="http://schemas.microsoft.com/office/drawing/2014/main" id="{00000000-0008-0000-0200-000003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2614613</xdr:colOff>
          <xdr:row>1</xdr:row>
          <xdr:rowOff>176213</xdr:rowOff>
        </xdr:from>
        <xdr:to>
          <xdr:col>4</xdr:col>
          <xdr:colOff>1243013</xdr:colOff>
          <xdr:row>4</xdr:row>
          <xdr:rowOff>28575</xdr:rowOff>
        </xdr:to>
        <xdr:sp macro="" textlink="">
          <xdr:nvSpPr>
            <xdr:cNvPr id="7172" name="CommandButtonDelete" hidden="1">
              <a:extLst>
                <a:ext uri="{63B3BB69-23CF-44E3-9099-C40C66FF867C}">
                  <a14:compatExt spid="_x0000_s7172"/>
                </a:ext>
                <a:ext uri="{FF2B5EF4-FFF2-40B4-BE49-F238E27FC236}">
                  <a16:creationId xmlns:a16="http://schemas.microsoft.com/office/drawing/2014/main" id="{00000000-0008-0000-0200-000004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2628900</xdr:colOff>
          <xdr:row>6</xdr:row>
          <xdr:rowOff>14288</xdr:rowOff>
        </xdr:from>
        <xdr:to>
          <xdr:col>4</xdr:col>
          <xdr:colOff>1257300</xdr:colOff>
          <xdr:row>7</xdr:row>
          <xdr:rowOff>200025</xdr:rowOff>
        </xdr:to>
        <xdr:sp macro="" textlink="">
          <xdr:nvSpPr>
            <xdr:cNvPr id="7173" name="CommandButtonNext" hidden="1">
              <a:extLst>
                <a:ext uri="{63B3BB69-23CF-44E3-9099-C40C66FF867C}">
                  <a14:compatExt spid="_x0000_s7173"/>
                </a:ext>
                <a:ext uri="{FF2B5EF4-FFF2-40B4-BE49-F238E27FC236}">
                  <a16:creationId xmlns:a16="http://schemas.microsoft.com/office/drawing/2014/main" id="{00000000-0008-0000-0200-000005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271463</xdr:colOff>
          <xdr:row>8</xdr:row>
          <xdr:rowOff>66675</xdr:rowOff>
        </xdr:from>
        <xdr:to>
          <xdr:col>5</xdr:col>
          <xdr:colOff>52388</xdr:colOff>
          <xdr:row>9</xdr:row>
          <xdr:rowOff>114300</xdr:rowOff>
        </xdr:to>
        <xdr:sp macro="" textlink="">
          <xdr:nvSpPr>
            <xdr:cNvPr id="7174" name="TextDescription" hidden="1">
              <a:extLst>
                <a:ext uri="{63B3BB69-23CF-44E3-9099-C40C66FF867C}">
                  <a14:compatExt spid="_x0000_s7174"/>
                </a:ext>
                <a:ext uri="{FF2B5EF4-FFF2-40B4-BE49-F238E27FC236}">
                  <a16:creationId xmlns:a16="http://schemas.microsoft.com/office/drawing/2014/main" id="{00000000-0008-0000-0200-000006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5</xdr:col>
      <xdr:colOff>477295</xdr:colOff>
      <xdr:row>0</xdr:row>
      <xdr:rowOff>136071</xdr:rowOff>
    </xdr:from>
    <xdr:to>
      <xdr:col>5</xdr:col>
      <xdr:colOff>2086288</xdr:colOff>
      <xdr:row>5</xdr:row>
      <xdr:rowOff>179614</xdr:rowOff>
    </xdr:to>
    <mc:AlternateContent xmlns:mc="http://schemas.openxmlformats.org/markup-compatibility/2006" xmlns:sle15="http://schemas.microsoft.com/office/drawing/2012/slicer">
      <mc:Choice Requires="sle15">
        <xdr:graphicFrame macro="">
          <xdr:nvGraphicFramePr>
            <xdr:cNvPr id="2" name="Has Image">
              <a:extLst>
                <a:ext uri="{FF2B5EF4-FFF2-40B4-BE49-F238E27FC236}">
                  <a16:creationId xmlns:a16="http://schemas.microsoft.com/office/drawing/2014/main" id="{2249E148-C550-AD16-1234-79EE17A30D40}"/>
                </a:ext>
              </a:extLst>
            </xdr:cNvPr>
            <xdr:cNvGraphicFramePr/>
          </xdr:nvGraphicFramePr>
          <xdr:xfrm>
            <a:off x="0" y="0"/>
            <a:ext cx="0" cy="0"/>
          </xdr:xfrm>
          <a:graphic>
            <a:graphicData uri="http://schemas.microsoft.com/office/drawing/2010/slicer">
              <sle:slicer xmlns:sle="http://schemas.microsoft.com/office/drawing/2010/slicer" name="Has Image"/>
            </a:graphicData>
          </a:graphic>
        </xdr:graphicFrame>
      </mc:Choice>
      <mc:Fallback xmlns="">
        <xdr:sp macro="" textlink="">
          <xdr:nvSpPr>
            <xdr:cNvPr id="0" name=""/>
            <xdr:cNvSpPr>
              <a:spLocks noTextEdit="1"/>
            </xdr:cNvSpPr>
          </xdr:nvSpPr>
          <xdr:spPr>
            <a:xfrm>
              <a:off x="5731746" y="136071"/>
              <a:ext cx="1608993" cy="964642"/>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editAs="absolute">
    <xdr:from>
      <xdr:col>2</xdr:col>
      <xdr:colOff>182926</xdr:colOff>
      <xdr:row>0</xdr:row>
      <xdr:rowOff>0</xdr:rowOff>
    </xdr:from>
    <xdr:to>
      <xdr:col>4</xdr:col>
      <xdr:colOff>969065</xdr:colOff>
      <xdr:row>0</xdr:row>
      <xdr:rowOff>691006</xdr:rowOff>
    </xdr:to>
    <mc:AlternateContent xmlns:mc="http://schemas.openxmlformats.org/markup-compatibility/2006" xmlns:sle15="http://schemas.microsoft.com/office/drawing/2012/slicer">
      <mc:Choice Requires="sle15">
        <xdr:graphicFrame macro="">
          <xdr:nvGraphicFramePr>
            <xdr:cNvPr id="2" name="Is On Trailer">
              <a:extLst>
                <a:ext uri="{FF2B5EF4-FFF2-40B4-BE49-F238E27FC236}">
                  <a16:creationId xmlns:a16="http://schemas.microsoft.com/office/drawing/2014/main" id="{61DAD05D-24AF-5839-72F5-818A6BACB787}"/>
                </a:ext>
              </a:extLst>
            </xdr:cNvPr>
            <xdr:cNvGraphicFramePr/>
          </xdr:nvGraphicFramePr>
          <xdr:xfrm>
            <a:off x="0" y="0"/>
            <a:ext cx="0" cy="0"/>
          </xdr:xfrm>
          <a:graphic>
            <a:graphicData uri="http://schemas.microsoft.com/office/drawing/2010/slicer">
              <sle:slicer xmlns:sle="http://schemas.microsoft.com/office/drawing/2010/slicer" name="Is On Trailer"/>
            </a:graphicData>
          </a:graphic>
        </xdr:graphicFrame>
      </mc:Choice>
      <mc:Fallback xmlns="">
        <xdr:sp macro="" textlink="">
          <xdr:nvSpPr>
            <xdr:cNvPr id="0" name=""/>
            <xdr:cNvSpPr>
              <a:spLocks noTextEdit="1"/>
            </xdr:cNvSpPr>
          </xdr:nvSpPr>
          <xdr:spPr>
            <a:xfrm>
              <a:off x="3956246" y="0"/>
              <a:ext cx="2594114" cy="691006"/>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mc:AlternateContent xmlns:mc="http://schemas.openxmlformats.org/markup-compatibility/2006">
    <mc:Choice xmlns:a14="http://schemas.microsoft.com/office/drawing/2010/main" Requires="a14">
      <xdr:twoCellAnchor>
        <xdr:from>
          <xdr:col>4</xdr:col>
          <xdr:colOff>1014413</xdr:colOff>
          <xdr:row>0</xdr:row>
          <xdr:rowOff>233363</xdr:rowOff>
        </xdr:from>
        <xdr:to>
          <xdr:col>5</xdr:col>
          <xdr:colOff>1181100</xdr:colOff>
          <xdr:row>0</xdr:row>
          <xdr:rowOff>561975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300-000002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Export JSON to Desktop</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Mitch Conklin" id="{44BFB17F-AD55-4CE8-A09B-078A42C83E8B}" userId="1deddc727bb7857e" providerId="Windows Live"/>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4" xr16:uid="{6194DE41-60ED-4F45-9767-1493BAC0DFBC}" autoFormatId="16" applyNumberFormats="0" applyBorderFormats="0" applyFontFormats="0" applyPatternFormats="0" applyAlignmentFormats="0" applyWidthHeightFormats="0">
  <queryTableRefresh nextId="29" unboundColumnsRight="8">
    <queryTableFields count="20">
      <queryTableField id="1" name="Master Record ID" tableColumnId="1"/>
      <queryTableField id="2" name="Description" tableColumnId="2"/>
      <queryTableField id="23" name="Manufacture" tableColumnId="18"/>
      <queryTableField id="24" name="MFG Part #" tableColumnId="19"/>
      <queryTableField id="17" name="Vendor" tableColumnId="12"/>
      <queryTableField id="18" name="VEN Part #" tableColumnId="13"/>
      <queryTableField id="19" name="Warehouse Order QTY" tableColumnId="15"/>
      <queryTableField id="3" name="Warehouse Min QTY" tableColumnId="3"/>
      <queryTableField id="4" name="Image Path" tableColumnId="4"/>
      <queryTableField id="27" name="Is Active Inventory Item" tableColumnId="20"/>
      <queryTableField id="5" name="Trailer Stock" tableColumnId="5"/>
      <queryTableField id="6" name="Case Stock" tableColumnId="6"/>
      <queryTableField id="13" dataBound="0" tableColumnId="14"/>
      <queryTableField id="7" dataBound="0" tableColumnId="7"/>
      <queryTableField id="8" dataBound="0" tableColumnId="8"/>
      <queryTableField id="9" dataBound="0" tableColumnId="9"/>
      <queryTableField id="14" dataBound="0" tableColumnId="16"/>
      <queryTableField id="10" dataBound="0" tableColumnId="10"/>
      <queryTableField id="11" dataBound="0" tableColumnId="11"/>
      <queryTableField id="16" dataBound="0" tableColumnId="1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D51A80E4-6D33-4CCB-AF96-D12569E84E39}" autoFormatId="16" applyNumberFormats="0" applyBorderFormats="0" applyFontFormats="0" applyPatternFormats="0" applyAlignmentFormats="0" applyWidthHeightFormats="0">
  <queryTableRefresh nextId="10">
    <queryTableFields count="7">
      <queryTableField id="1" name="Master Record ID" tableColumnId="1"/>
      <queryTableField id="2" name="Description" tableColumnId="2"/>
      <queryTableField id="3" name="Manufacture" tableColumnId="3"/>
      <queryTableField id="4" name="MFG Part #" tableColumnId="4"/>
      <queryTableField id="5" name="Vendor" tableColumnId="5"/>
      <queryTableField id="6" name="VEN Part #" tableColumnId="6"/>
      <queryTableField id="7" name="Has Image" tableColumnId="7"/>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5" xr16:uid="{B2BD07D1-274C-4F45-BEF7-54BB16012A24}" autoFormatId="16" applyNumberFormats="0" applyBorderFormats="0" applyFontFormats="0" applyPatternFormats="0" applyAlignmentFormats="0" applyWidthHeightFormats="0">
  <queryTableRefresh nextId="30" unboundColumnsRight="2">
    <queryTableFields count="22">
      <queryTableField id="1" name="Master Record ID" tableColumnId="1"/>
      <queryTableField id="2" name="Description" tableColumnId="2"/>
      <queryTableField id="18" name="Manufacture" tableColumnId="18"/>
      <queryTableField id="19" name="MFG Part #" tableColumnId="19"/>
      <queryTableField id="3" name="Vendor" tableColumnId="3"/>
      <queryTableField id="4" name="VEN Part #" tableColumnId="4"/>
      <queryTableField id="5" name="Warehouse Order QTY" tableColumnId="5"/>
      <queryTableField id="6" name="Warehouse Min QTY" tableColumnId="6"/>
      <queryTableField id="7" name="Image Path" tableColumnId="7"/>
      <queryTableField id="24" name="Is Active Inventory Item" tableColumnId="22"/>
      <queryTableField id="22" name="Is Geo Trailer Stock" tableColumnId="20"/>
      <queryTableField id="23" name="Is Geo Case Stock" tableColumnId="21"/>
      <queryTableField id="10" name="SPACER" tableColumnId="10"/>
      <queryTableField id="11" name="Location" tableColumnId="11"/>
      <queryTableField id="12" name="Trailer Stock Max" tableColumnId="12"/>
      <queryTableField id="13" name="Trailer Stock Min" tableColumnId="13"/>
      <queryTableField id="14" name="Restock Type" tableColumnId="14"/>
      <queryTableField id="15" name="Macro Sort" tableColumnId="15"/>
      <queryTableField id="16" name="Micro Sort" tableColumnId="16"/>
      <queryTableField id="17" name="Slicer" tableColumnId="17"/>
      <queryTableField id="28" dataBound="0" tableColumnId="8"/>
      <queryTableField id="29" dataBound="0" tableColumnId="9"/>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s_Unit_Starting_Ductwork1" xr10:uid="{212AA103-6948-4C69-BA04-678C0B9FA321}" sourceName="Is Unit Starting Ductwork">
  <extLst>
    <x:ext xmlns:x15="http://schemas.microsoft.com/office/spreadsheetml/2010/11/main" uri="{2F2917AC-EB37-4324-AD4E-5DD8C200BD13}">
      <x15:tableSlicerCache tableId="4" column="21"/>
    </x:ex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s_Ductwork1" xr10:uid="{531CADC3-962B-4CCD-B878-A8FBDD426E9D}" sourceName="Is Ductwork">
  <extLst>
    <x:ext xmlns:x15="http://schemas.microsoft.com/office/spreadsheetml/2010/11/main" uri="{2F2917AC-EB37-4324-AD4E-5DD8C200BD13}">
      <x15:tableSlicerCache tableId="4" column="22"/>
    </x:ex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s_Warehouse1" xr10:uid="{A4E4A7CE-C82A-4FB8-A7AC-C5EDADDE738E}" sourceName="Is Warehouse">
  <extLst>
    <x:ext xmlns:x15="http://schemas.microsoft.com/office/spreadsheetml/2010/11/main" uri="{2F2917AC-EB37-4324-AD4E-5DD8C200BD13}">
      <x15:tableSlicerCache tableId="4" column="23"/>
    </x:ex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s_Trailer_Stock1" xr10:uid="{F3DEC3A8-65E6-494C-BF7E-9572902B3C0F}" sourceName="Is Geo Trailer Stock">
  <extLst>
    <x:ext xmlns:x15="http://schemas.microsoft.com/office/spreadsheetml/2010/11/main" uri="{2F2917AC-EB37-4324-AD4E-5DD8C200BD13}">
      <x15:tableSlicerCache tableId="4" column="24"/>
    </x:ex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s_Case_Stock1" xr10:uid="{79E57656-260D-4034-ACEF-FAEFF9281578}" sourceName="Is Geo Case Stock">
  <extLst>
    <x:ext xmlns:x15="http://schemas.microsoft.com/office/spreadsheetml/2010/11/main" uri="{2F2917AC-EB37-4324-AD4E-5DD8C200BD13}">
      <x15:tableSlicerCache tableId="4" column="25"/>
    </x:ex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s_GIM1" xr10:uid="{65A215C9-7CF7-472C-A978-DDB5DA9E8BA0}" sourceName="Is GIM">
  <extLst>
    <x:ext xmlns:x15="http://schemas.microsoft.com/office/spreadsheetml/2010/11/main" uri="{2F2917AC-EB37-4324-AD4E-5DD8C200BD13}">
      <x15:tableSlicerCache tableId="4" column="16"/>
    </x:ex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_11" xr10:uid="{2BC6DB7C-420D-44CA-8C68-FB2138603988}" sourceName="CAT 1">
  <extLst>
    <x:ext xmlns:x15="http://schemas.microsoft.com/office/spreadsheetml/2010/11/main" uri="{2F2917AC-EB37-4324-AD4E-5DD8C200BD13}">
      <x15:tableSlicerCache tableId="4" column="1"/>
    </x:ext>
    <x:ext xmlns:x15="http://schemas.microsoft.com/office/spreadsheetml/2010/11/main" uri="{470722E0-AACD-4C17-9CDC-17EF765DBC7E}">
      <x15:slicerCacheHideItemsWithNoData/>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_21" xr10:uid="{511BBDA8-4E77-4B76-A1F5-9C97E96D98C7}" sourceName="CAT 2">
  <extLst>
    <x:ext xmlns:x15="http://schemas.microsoft.com/office/spreadsheetml/2010/11/main" uri="{2F2917AC-EB37-4324-AD4E-5DD8C200BD13}">
      <x15:tableSlicerCache tableId="4" column="2"/>
    </x:ext>
    <x:ext xmlns:x15="http://schemas.microsoft.com/office/spreadsheetml/2010/11/main" uri="{470722E0-AACD-4C17-9CDC-17EF765DBC7E}">
      <x15:slicerCacheHideItemsWithNoData/>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_3" xr10:uid="{7282F657-5401-4E01-BA82-04C8AA906146}" sourceName="CAT3">
  <extLst>
    <x:ext xmlns:x15="http://schemas.microsoft.com/office/spreadsheetml/2010/11/main" uri="{2F2917AC-EB37-4324-AD4E-5DD8C200BD13}">
      <x15:tableSlicerCache tableId="4" column="3"/>
    </x:ext>
    <x:ext xmlns:x15="http://schemas.microsoft.com/office/spreadsheetml/2010/11/main" uri="{470722E0-AACD-4C17-9CDC-17EF765DBC7E}">
      <x15:slicerCacheHideItemsWithNoData/>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railer_Stock" xr10:uid="{EB7C6D80-00AE-4885-91AB-23ED228821D5}" sourceName="Trailer Stock">
  <extLst>
    <x:ext xmlns:x15="http://schemas.microsoft.com/office/spreadsheetml/2010/11/main" uri="{2F2917AC-EB37-4324-AD4E-5DD8C200BD13}">
      <x15:tableSlicerCache tableId="5" column="5"/>
    </x:ext>
    <x:ext xmlns:x15="http://schemas.microsoft.com/office/spreadsheetml/2010/11/main" uri="{470722E0-AACD-4C17-9CDC-17EF765DBC7E}">
      <x15:slicerCacheHideItemsWithNoData/>
    </x:ext>
  </extLst>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se_Stock" xr10:uid="{29961DBA-B7C7-4907-96A0-8DDB4CBB0C43}" sourceName="Case Stock">
  <extLst>
    <x:ext xmlns:x15="http://schemas.microsoft.com/office/spreadsheetml/2010/11/main" uri="{2F2917AC-EB37-4324-AD4E-5DD8C200BD13}">
      <x15:tableSlicerCache tableId="5" column="6"/>
    </x:ext>
    <x:ext xmlns:x15="http://schemas.microsoft.com/office/spreadsheetml/2010/11/main" uri="{470722E0-AACD-4C17-9CDC-17EF765DBC7E}">
      <x15:slicerCacheHideItemsWithNoData/>
    </x:ext>
  </extLst>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licer" xr10:uid="{E5A4650D-A6B4-4C54-B408-3DBFBF78ECC3}" sourceName="Slicer">
  <extLst>
    <x:ext xmlns:x15="http://schemas.microsoft.com/office/spreadsheetml/2010/11/main" uri="{2F2917AC-EB37-4324-AD4E-5DD8C200BD13}">
      <x15:tableSlicerCache tableId="5" column="17"/>
    </x:ext>
    <x:ext xmlns:x15="http://schemas.microsoft.com/office/spreadsheetml/2010/11/main" uri="{470722E0-AACD-4C17-9CDC-17EF765DBC7E}">
      <x15:slicerCacheHideItemsWithNoData/>
    </x:ext>
  </extLst>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Has_Image" xr10:uid="{8E76EB64-C344-40BE-8F57-43917C4A7296}" sourceName="Has Image">
  <extLst>
    <x:ext xmlns:x15="http://schemas.microsoft.com/office/spreadsheetml/2010/11/main" uri="{2F2917AC-EB37-4324-AD4E-5DD8C200BD13}">
      <x15:tableSlicerCache tableId="1" column="7"/>
    </x:ext>
  </extLst>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s_Active_Inventory_Item" xr10:uid="{B354A574-8AC3-47CD-9E7E-C201FC9D5B33}" sourceName="Is Active Inventory Item">
  <extLst>
    <x:ext xmlns:x15="http://schemas.microsoft.com/office/spreadsheetml/2010/11/main" uri="{2F2917AC-EB37-4324-AD4E-5DD8C200BD13}">
      <x15:tableSlicerCache tableId="4" column="15"/>
    </x:ext>
    <x:ext xmlns:x15="http://schemas.microsoft.com/office/spreadsheetml/2010/11/main" uri="{470722E0-AACD-4C17-9CDC-17EF765DBC7E}">
      <x15:slicerCacheHideItemsWithNoData/>
    </x:ext>
  </extLst>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s_On_Trailer" xr10:uid="{CFE1EF6A-75B9-4586-A308-20C8FB646A68}" sourceName="Is On Trailer">
  <extLst>
    <x:ext xmlns:x15="http://schemas.microsoft.com/office/spreadsheetml/2010/11/main" uri="{2F2917AC-EB37-4324-AD4E-5DD8C200BD13}">
      <x15:tableSlicerCache tableId="2" column="9"/>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Is Unit Starting Ductwork 1" xr10:uid="{32F7789C-3619-46DA-9779-20F9C561E3B9}" cache="Slicer_Is_Unit_Starting_Ductwork1" caption="Is Unit Starting Ductwork" columnCount="2" style="SlicerStyleLight6" rowHeight="245835"/>
  <slicer name="Is Ductwork 1" xr10:uid="{33105391-CE66-4069-818C-4DCF3E92C7BE}" cache="Slicer_Is_Ductwork1" caption="Is Ductwork" columnCount="2" style="SlicerStyleLight6" rowHeight="245835"/>
  <slicer name="Is Warehouse 1" xr10:uid="{FB2F1D27-D546-44E1-8914-B9A7761AA4F5}" cache="Slicer_Is_Warehouse1" caption="Is Warehouse" columnCount="2" style="SlicerStyleLight6" rowHeight="245835"/>
  <slicer name="Is Trailer Stock 1" xr10:uid="{DBD2A8EB-B1BB-4AB2-8E16-15FE9DEA3050}" cache="Slicer_Is_Trailer_Stock1" caption="Is Geo Trailer Stock" columnCount="2" style="SlicerStyleLight6" rowHeight="245835"/>
  <slicer name="Is Case Stock 1" xr10:uid="{883E51D0-342C-40D3-B279-2362BC2C9886}" cache="Slicer_Is_Case_Stock1" caption="Is Geo Case Stock" columnCount="2" style="SlicerStyleLight6" rowHeight="245835"/>
  <slicer name="Is GIM 1" xr10:uid="{8E60560D-EE47-43E9-9DAA-7136659791B9}" cache="Slicer_Is_GIM1" caption="Is GIM" columnCount="2" style="SlicerStyleLight6" rowHeight="245835"/>
  <slicer name="Category 3" xr10:uid="{1F6F8FA6-40DE-4D51-9CF7-65EED1E0F455}" cache="Slicer_Category_11" caption="CAT 1" columnCount="2" rowHeight="245835"/>
  <slicer name="Category 4" xr10:uid="{38D195D4-137E-49F9-A73D-D2E9CFBC0927}" cache="Slicer_Category_21" caption="CAT 2" columnCount="4" rowHeight="245835"/>
  <slicer name="Category 3 1" xr10:uid="{2843EF02-B2E9-4079-BE98-3E11CA9B908E}" cache="Slicer_Category_3" caption="CAT3" columnCount="4" rowHeight="245835"/>
  <slicer name="Is Active Inventory Item" xr10:uid="{6166B13A-9830-46EE-9D4D-133F23A130B9}" cache="Slicer_Is_Active_Inventory_Item" caption="Is Active Inventory Item" columnCount="2" style="SlicerStyleLight2" rowHeight="245835"/>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railer Stock" xr10:uid="{21EF05C3-BE77-4839-9D05-2D25BEC5AB79}" cache="Slicer_Trailer_Stock" caption="Trailer Stock" rowHeight="245835"/>
  <slicer name="Case Stock" xr10:uid="{E619A4B3-C5CE-482B-88C8-4185B48102E6}" cache="Slicer_Case_Stock" caption="Case Stock" rowHeight="245835"/>
  <slicer name="Slicer" xr10:uid="{2E6DEBC6-C548-46D1-8683-399DD6E0E61F}" cache="Slicer_Slicer" caption="Location" columnCount="4" style="SlicerStyleLight2" rowHeight="245835"/>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Has Image" xr10:uid="{6458FAC1-DDDD-499C-AF3C-8F8798093F6A}" cache="Slicer_Has_Image" caption="Has Image" rowHeight="245835"/>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Is On Trailer" xr10:uid="{FD5ADDD7-3951-4138-9A50-81970D1FAF3E}" cache="Slicer_Is_On_Trailer" caption="Is On Trailer" columnCount="2" rowHeight="245835"/>
</slicers>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09F44BF-7125-4D99-ABA7-8DCE35D87D94}" name="Table_Master_Inventory" displayName="Table_Master_Inventory" ref="A11:W342" totalsRowShown="0" headerRowDxfId="31">
  <autoFilter ref="A11:W342" xr:uid="{0276C291-48C3-4BB8-A82B-48E7FC1EB31A}">
    <filterColumn colId="2">
      <filters>
        <filter val="Parts"/>
      </filters>
    </filterColumn>
    <filterColumn colId="3">
      <filters>
        <filter val="HDPE"/>
      </filters>
    </filterColumn>
    <filterColumn colId="4">
      <filters>
        <filter val="Fittings"/>
      </filters>
    </filterColumn>
  </autoFilter>
  <tableColumns count="23">
    <tableColumn id="20" xr3:uid="{E6BB0DED-7FB1-494A-8956-0FF9DB4B4626}" name="Master Record ID" dataDxfId="30"/>
    <tableColumn id="4" xr3:uid="{83C785DB-6F87-43FE-B9CD-85B1A23764F1}" name="Description"/>
    <tableColumn id="1" xr3:uid="{DE95397F-4CCC-4F6E-9E12-25B50B823CB9}" name="CAT 1"/>
    <tableColumn id="2" xr3:uid="{15FAA3E0-70B9-42BC-A0D6-B7F6731A762C}" name="CAT 2"/>
    <tableColumn id="3" xr3:uid="{790CDC87-8C04-4B87-81DD-2C357BA7B4CA}" name="CAT3"/>
    <tableColumn id="5" xr3:uid="{907AA1FC-F025-4BF5-A48E-850FBF955A02}" name="Size" dataDxfId="29"/>
    <tableColumn id="26" xr3:uid="{9E70E291-84CC-4130-92AE-133ED85373C0}" name="Manufacture" dataDxfId="28"/>
    <tableColumn id="27" xr3:uid="{D53FCCEB-2498-4C13-9577-1415DBB5CE82}" name="MFG Part #" dataDxfId="27"/>
    <tableColumn id="7" xr3:uid="{E28D6CAA-7488-41B4-A69B-A1BC940BCA1E}" name="Vendor" dataDxfId="26"/>
    <tableColumn id="6" xr3:uid="{531DE31A-7CBC-4384-B266-947BD89FE6F6}" name="VEN Part #" dataDxfId="25"/>
    <tableColumn id="8" xr3:uid="{549194EF-4A5A-476E-A8F7-A8D4598DDE13}" name="Warehouse Order QTY" dataDxfId="24"/>
    <tableColumn id="9" xr3:uid="{6D41BA98-B709-460A-AE3C-3B589F528B7A}" name="Warehouse Min QTY" dataDxfId="23"/>
    <tableColumn id="11" xr3:uid="{DADCB83F-D8DB-40BA-A7D5-DEFA5A47C2DB}" name="Cost" dataDxfId="22"/>
    <tableColumn id="12" xr3:uid="{77A04DB2-81BE-40DC-82DA-B002C3587E4C}" name="Unit"/>
    <tableColumn id="10" xr3:uid="{A11C85A6-B7A3-4CD2-9A13-F7D4E6D3E80D}" name="Image Path" dataDxfId="21">
      <calculatedColumnFormula>_xlfn.CONCAT("https://raw.githubusercontent.com/LaryBird12/geo-images/main/images/",Table_Master_Inventory[[#This Row],[Master Record ID]],".jpg")</calculatedColumnFormula>
    </tableColumn>
    <tableColumn id="18" xr3:uid="{417591B9-B74F-47D9-85BE-41F89A8106F0}" name="Spacer"/>
    <tableColumn id="15" xr3:uid="{531F5952-6D15-4E06-954B-3753761644D9}" name="Is Active Inventory Item" dataCellStyle="Neutral"/>
    <tableColumn id="16" xr3:uid="{C921F2A8-2925-4EF9-A836-97385691F781}" name="Is GIM"/>
    <tableColumn id="21" xr3:uid="{66FDC6A7-927C-4446-9FA0-644B38198816}" name="Is Unit Starting Ductwork"/>
    <tableColumn id="22" xr3:uid="{5E4D452C-AC95-47A5-AD91-0B0DC9BA76A2}" name="Is Ductwork"/>
    <tableColumn id="23" xr3:uid="{D847916E-F759-4477-837E-5EB66A706C33}" name="Is Warehouse"/>
    <tableColumn id="24" xr3:uid="{109D1127-8C2D-4CBD-A49A-9BD0CA32CDDA}" name="Is Geo Trailer Stock"/>
    <tableColumn id="25" xr3:uid="{33E56B65-1703-4DD1-9791-CFADFE0C9048}" name="Is Geo Case Stock"/>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3D06DBC-765F-46DD-9409-5689087E8A86}" name="Table_Trailer_Restock" displayName="Table_Trailer_Restock" ref="A11:T270" tableType="queryTable" totalsRowShown="0" headerRowDxfId="39">
  <autoFilter ref="A11:T270" xr:uid="{A3D06DBC-765F-46DD-9409-5689087E8A86}"/>
  <tableColumns count="20">
    <tableColumn id="1" xr3:uid="{AA8BB258-95EC-46F1-8859-9E6F97FB0B57}" uniqueName="1" name="Master Record ID" queryTableFieldId="1"/>
    <tableColumn id="2" xr3:uid="{C209F87D-9AA9-4074-92CE-AE5B0D61ECA4}" uniqueName="2" name="Description" queryTableFieldId="2" dataDxfId="38"/>
    <tableColumn id="18" xr3:uid="{F19DF95C-5A30-450C-8252-707FF1DDA979}" uniqueName="18" name="Manufacture" queryTableFieldId="23"/>
    <tableColumn id="19" xr3:uid="{A55338C4-97E4-4817-9D73-EE7555FAFA36}" uniqueName="19" name="MFG Part #" queryTableFieldId="24"/>
    <tableColumn id="12" xr3:uid="{CDA26E66-A369-417A-B69C-AF8474E1B104}" uniqueName="12" name="Vendor" queryTableFieldId="17" dataDxfId="37"/>
    <tableColumn id="13" xr3:uid="{6D5F66BC-877E-4D68-9021-1777E4BAF65D}" uniqueName="13" name="VEN Part #" queryTableFieldId="18" dataDxfId="4"/>
    <tableColumn id="15" xr3:uid="{177F5D22-5B57-48B0-AF94-C5A8E2383537}" uniqueName="15" name="Warehouse Order QTY" queryTableFieldId="19" dataDxfId="3"/>
    <tableColumn id="3" xr3:uid="{8D713273-E082-47D8-9612-B9F0DE45360F}" uniqueName="3" name="Warehouse Min QTY" queryTableFieldId="3" dataDxfId="2"/>
    <tableColumn id="4" xr3:uid="{5DA820DB-5D80-4438-B3DE-D3FD03842E36}" uniqueName="4" name="Image Path" queryTableFieldId="4"/>
    <tableColumn id="20" xr3:uid="{A8CAED2D-6AF4-4F96-B8F8-E1056280A389}" uniqueName="20" name="Is Active Inventory Item" queryTableFieldId="27" dataDxfId="36"/>
    <tableColumn id="5" xr3:uid="{9A0CB3FD-8A43-4532-B24B-84F3AB0C5B5B}" uniqueName="5" name="Trailer Stock" queryTableFieldId="5"/>
    <tableColumn id="6" xr3:uid="{1625B89D-830B-4F2A-8EDF-85A182E0D379}" uniqueName="6" name="Case Stock" queryTableFieldId="6"/>
    <tableColumn id="14" xr3:uid="{5233B4E4-09F8-4CBC-AF1E-F0852EE1C41B}" uniqueName="14" name="SPACER" queryTableFieldId="13" dataDxfId="1" dataCellStyle="Note"/>
    <tableColumn id="7" xr3:uid="{05337993-A7B7-476E-B156-3E788A5EBC48}" uniqueName="7" name="Location" queryTableFieldId="7"/>
    <tableColumn id="8" xr3:uid="{027DFF2C-5712-4769-9A38-9310F62172BB}" uniqueName="8" name="Trailer Stock Max" queryTableFieldId="8"/>
    <tableColumn id="9" xr3:uid="{3660854D-C101-4EA9-B8B5-9B45ABCD7149}" uniqueName="9" name="Trailer Stock Min" queryTableFieldId="9"/>
    <tableColumn id="16" xr3:uid="{4F88D1EA-00EF-4AF0-AD4C-57EFC8E7CEB3}" uniqueName="16" name="Restock Type" queryTableFieldId="14"/>
    <tableColumn id="10" xr3:uid="{69F3BF2A-3995-4157-B534-7472C5E05DD2}" uniqueName="10" name="Macro Sort" queryTableFieldId="10">
      <calculatedColumnFormula>_xlfn.XLOOKUP(Table_Trailer_Restock[[#This Row],[Location]],Table_Trailer_Location[[Label ]],Table_Trailer_Location[Sort Order],"",0,1)</calculatedColumnFormula>
    </tableColumn>
    <tableColumn id="11" xr3:uid="{2C03ADAF-9F6F-4C70-BC98-0E633CAC7878}" uniqueName="11" name="Micro Sort" queryTableFieldId="11"/>
    <tableColumn id="17" xr3:uid="{7D3F7680-EFB3-45AC-857A-E48E995320A0}" uniqueName="17" name="Slicer" queryTableFieldId="16" dataDxfId="35">
      <calculatedColumnFormula>_xlfn.CONCAT(Table_Trailer_Restock[[#This Row],[Macro Sort]]," ",Table_Trailer_Restock[[#This Row],[Location]])</calculatedColumnFormula>
    </tableColumn>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CC8CFD9D-E872-419D-A829-7195CC323165}" name="Table_Trailer_Location" displayName="Table_Trailer_Location" ref="V11:X40" totalsRowShown="0" headerRowDxfId="34">
  <autoFilter ref="V11:X40" xr:uid="{CC8CFD9D-E872-419D-A829-7195CC323165}"/>
  <sortState xmlns:xlrd2="http://schemas.microsoft.com/office/spreadsheetml/2017/richdata2" ref="V12:X40">
    <sortCondition ref="V11:V40"/>
  </sortState>
  <tableColumns count="3">
    <tableColumn id="3" xr3:uid="{76677454-ED6C-483C-9413-B7ADBD5A30C7}" name="Sort Order"/>
    <tableColumn id="1" xr3:uid="{C4ECFD37-B2D1-4919-9D01-656D6EB28EA6}" name="Location"/>
    <tableColumn id="2" xr3:uid="{2B4C9040-832B-4C91-B154-31A461C2FE0F}" name="Label "/>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6DC067C-3648-45F4-9298-F19E034761B4}" name="Image_Tool" displayName="Image_Tool" ref="A11:G342" tableType="queryTable" totalsRowShown="0" dataDxfId="20">
  <autoFilter ref="A11:G342" xr:uid="{26DC067C-3648-45F4-9298-F19E034761B4}">
    <filterColumn colId="6">
      <filters>
        <filter val="False"/>
      </filters>
    </filterColumn>
  </autoFilter>
  <tableColumns count="7">
    <tableColumn id="1" xr3:uid="{A514E695-674B-4750-AD51-AC2058CDAF42}" uniqueName="1" name="Master Record ID" queryTableFieldId="1" dataDxfId="19"/>
    <tableColumn id="2" xr3:uid="{578971CA-D6A9-4C5D-B5EB-C5D25DE6701F}" uniqueName="2" name="Description" queryTableFieldId="2" dataDxfId="18"/>
    <tableColumn id="3" xr3:uid="{952CB5B4-C8DE-491A-886B-4DA6FE432FB7}" uniqueName="3" name="Manufacture" queryTableFieldId="3" dataDxfId="17"/>
    <tableColumn id="4" xr3:uid="{17213AFC-FEDB-49B3-AFC8-13D577687740}" uniqueName="4" name="MFG Part #" queryTableFieldId="4" dataDxfId="16"/>
    <tableColumn id="5" xr3:uid="{5DCC189A-6CE0-407F-8189-E150A691F9C9}" uniqueName="5" name="Vendor" queryTableFieldId="5" dataDxfId="15"/>
    <tableColumn id="6" xr3:uid="{680B085C-A3EA-43DA-A5DC-CAB9264BE593}" uniqueName="6" name="VEN Part #" queryTableFieldId="6" dataDxfId="14"/>
    <tableColumn id="7" xr3:uid="{74F4275C-767D-4D09-B7EA-99D50B99A5DF}" uniqueName="7" name="Has Image" queryTableFieldId="7" dataDxfId="13"/>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08E63D0-A691-49AC-A122-F8385E4B3687}" name="Table_Trailer_Restock_JSON" displayName="Table_Trailer_Restock_JSON" ref="A2:V332" tableType="queryTable" totalsRowShown="0">
  <autoFilter ref="A2:V332" xr:uid="{208E63D0-A691-49AC-A122-F8385E4B3687}"/>
  <tableColumns count="22">
    <tableColumn id="1" xr3:uid="{8129C9F9-3394-41A5-8536-373427465CA8}" uniqueName="1" name="Master Record ID" queryTableFieldId="1"/>
    <tableColumn id="2" xr3:uid="{516024FE-5F65-4E37-B6B5-E4137A3529BA}" uniqueName="2" name="Description" queryTableFieldId="2" dataDxfId="12"/>
    <tableColumn id="18" xr3:uid="{B353D547-C0A9-41EF-B998-608784A24949}" uniqueName="18" name="Manufacture" queryTableFieldId="18"/>
    <tableColumn id="19" xr3:uid="{EEC1A116-F9B4-4406-8AEC-09056AE4DE52}" uniqueName="19" name="MFG Part #" queryTableFieldId="19"/>
    <tableColumn id="3" xr3:uid="{749DFCFD-8BB4-41FA-8413-2F436D47E8AD}" uniqueName="3" name="Vendor" queryTableFieldId="3" dataDxfId="11"/>
    <tableColumn id="4" xr3:uid="{B2D88FB9-EE68-4332-A520-7B1E83176128}" uniqueName="4" name="VEN Part #" queryTableFieldId="4"/>
    <tableColumn id="5" xr3:uid="{FE39A169-3536-4ECE-B7E1-556F4F6170AB}" uniqueName="5" name="Warehouse Order QTY" queryTableFieldId="5"/>
    <tableColumn id="6" xr3:uid="{598B16AC-0D90-4756-B540-2F16969E134B}" uniqueName="6" name="Warehouse Min QTY" queryTableFieldId="6"/>
    <tableColumn id="7" xr3:uid="{A2D12F68-00EA-4B79-9997-3028CCD2B38B}" uniqueName="7" name="Image Path" queryTableFieldId="7" dataDxfId="10"/>
    <tableColumn id="22" xr3:uid="{2F32B28F-5ED5-4811-AA93-E48566D3B12C}" uniqueName="22" name="Is Active Inventory Item" queryTableFieldId="24"/>
    <tableColumn id="20" xr3:uid="{24C32A0E-3352-4931-A2BB-FE6A5FC80973}" uniqueName="20" name="Is Geo Trailer Stock" queryTableFieldId="22"/>
    <tableColumn id="21" xr3:uid="{DB79638D-8FFD-40CA-8D47-B499DC6EB2A1}" uniqueName="21" name="Is Geo Case Stock" queryTableFieldId="23"/>
    <tableColumn id="10" xr3:uid="{DBA24A0C-6E75-49BD-9D5E-3527A2EF36B8}" uniqueName="10" name="SPACER" queryTableFieldId="10"/>
    <tableColumn id="11" xr3:uid="{AF3D0738-4245-483B-AB1E-992F3D31CAD0}" uniqueName="11" name="Location" queryTableFieldId="11" dataDxfId="9"/>
    <tableColumn id="12" xr3:uid="{DC43327B-EAF7-4636-9402-ACE6E5518AF8}" uniqueName="12" name="Trailer Stock Max" queryTableFieldId="12"/>
    <tableColumn id="13" xr3:uid="{B4A9DD53-B658-4953-8B11-439167ABF59B}" uniqueName="13" name="Trailer Stock Min" queryTableFieldId="13"/>
    <tableColumn id="14" xr3:uid="{E3E395E2-7B40-476D-A697-42D01B7E8B5D}" uniqueName="14" name="Restock Type" queryTableFieldId="14" dataDxfId="8"/>
    <tableColumn id="15" xr3:uid="{DE379EF2-46DD-47A6-8046-5014441CAD36}" uniqueName="15" name="Macro Sort" queryTableFieldId="15" dataDxfId="7"/>
    <tableColumn id="16" xr3:uid="{24DBC8E3-5F72-4D74-A0AA-F1024FDAE3C1}" uniqueName="16" name="Micro Sort" queryTableFieldId="16"/>
    <tableColumn id="17" xr3:uid="{EEC5C06B-9F84-44A1-A167-710866B7BD47}" uniqueName="17" name="Slicer" queryTableFieldId="17" dataDxfId="6"/>
    <tableColumn id="8" xr3:uid="{65BB5FDA-968C-4D67-A162-D92126CE42C9}" uniqueName="8" name="Spacer2" queryTableFieldId="28" dataDxfId="0" dataCellStyle="Note"/>
    <tableColumn id="9" xr3:uid="{FC62C4B8-A37B-4854-A9A6-2C94D9DC5D08}" uniqueName="9" name="Is On Trailer" queryTableFieldId="29" dataDxfId="5">
      <calculatedColumnFormula>IF(AND(Table_Trailer_Restock_JSON[[#This Row],[Is Geo Trailer Stock]]=FALSE,Table_Trailer_Restock_JSON[[#This Row],[Is Geo Case Stock]]=FALSE),FALSE,TRUE)</calculatedColumnFormula>
    </tableColumn>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91" dT="2026-06-14T16:45:54.49" personId="{44BFB17F-AD55-4CE8-A09B-078A42C83E8B}" id="{35EF6F54-EE1A-478F-B4B1-0684CE239BC1}">
    <text xml:space="preserve">This item apears to be a duplicate two different home depot vendor numbers produce an identical result and im going to mark this one as removed </text>
  </threadedComment>
</ThreadedComments>
</file>

<file path=xl/worksheets/_rels/sheet1.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2.xml"/><Relationship Id="rId6" Type="http://schemas.microsoft.com/office/2007/relationships/slicer" Target="../slicers/slicer2.xml"/><Relationship Id="rId5" Type="http://schemas.openxmlformats.org/officeDocument/2006/relationships/table" Target="../tables/table3.xml"/><Relationship Id="rId4" Type="http://schemas.openxmlformats.org/officeDocument/2006/relationships/table" Target="../tables/table2.xml"/></Relationships>
</file>

<file path=xl/worksheets/_rels/sheet3.xml.rels><?xml version="1.0" encoding="UTF-8" standalone="yes"?>
<Relationships xmlns="http://schemas.openxmlformats.org/package/2006/relationships"><Relationship Id="rId8" Type="http://schemas.openxmlformats.org/officeDocument/2006/relationships/image" Target="../media/image3.emf"/><Relationship Id="rId13" Type="http://schemas.openxmlformats.org/officeDocument/2006/relationships/table" Target="../tables/table4.xml"/><Relationship Id="rId3" Type="http://schemas.openxmlformats.org/officeDocument/2006/relationships/control" Target="../activeX/activeX1.xml"/><Relationship Id="rId7" Type="http://schemas.openxmlformats.org/officeDocument/2006/relationships/control" Target="../activeX/activeX3.xml"/><Relationship Id="rId12" Type="http://schemas.openxmlformats.org/officeDocument/2006/relationships/image" Target="../media/image5.emf"/><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image" Target="../media/image2.emf"/><Relationship Id="rId11" Type="http://schemas.openxmlformats.org/officeDocument/2006/relationships/control" Target="../activeX/activeX5.xml"/><Relationship Id="rId5" Type="http://schemas.openxmlformats.org/officeDocument/2006/relationships/control" Target="../activeX/activeX2.xml"/><Relationship Id="rId10" Type="http://schemas.openxmlformats.org/officeDocument/2006/relationships/image" Target="../media/image4.emf"/><Relationship Id="rId4" Type="http://schemas.openxmlformats.org/officeDocument/2006/relationships/image" Target="../media/image1.emf"/><Relationship Id="rId9" Type="http://schemas.openxmlformats.org/officeDocument/2006/relationships/control" Target="../activeX/activeX4.xml"/><Relationship Id="rId14" Type="http://schemas.microsoft.com/office/2007/relationships/slicer" Target="../slicers/slicer3.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4.xml"/><Relationship Id="rId5" Type="http://schemas.microsoft.com/office/2007/relationships/slicer" Target="../slicers/slicer4.xml"/><Relationship Id="rId4"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49B0D0-9075-4CF0-9EAC-0B0DD2A02947}">
  <sheetPr codeName="Sheet4"/>
  <dimension ref="A1:W342"/>
  <sheetViews>
    <sheetView zoomScale="85" zoomScaleNormal="85" workbookViewId="0">
      <pane ySplit="11" topLeftCell="A162" activePane="bottomLeft" state="frozen"/>
      <selection pane="bottomLeft" activeCell="E171" sqref="E171"/>
    </sheetView>
  </sheetViews>
  <sheetFormatPr defaultRowHeight="15" customHeight="1" x14ac:dyDescent="0.45"/>
  <cols>
    <col min="1" max="1" width="7.1328125" bestFit="1" customWidth="1"/>
    <col min="2" max="2" width="37.3984375" bestFit="1" customWidth="1"/>
    <col min="3" max="5" width="12.3984375" customWidth="1"/>
    <col min="6" max="6" width="23.86328125" customWidth="1"/>
    <col min="7" max="7" width="7.86328125" style="2" bestFit="1" customWidth="1"/>
    <col min="8" max="8" width="7.1328125" style="2" bestFit="1" customWidth="1"/>
    <col min="9" max="9" width="19.59765625" style="2" bestFit="1" customWidth="1"/>
    <col min="10" max="10" width="34.59765625" bestFit="1" customWidth="1"/>
    <col min="11" max="11" width="11.59765625" style="2" bestFit="1" customWidth="1"/>
    <col min="12" max="12" width="10" bestFit="1" customWidth="1"/>
    <col min="13" max="13" width="8.86328125" style="2" bestFit="1" customWidth="1"/>
    <col min="14" max="14" width="8.59765625" customWidth="1"/>
    <col min="15" max="15" width="9.1328125" hidden="1" customWidth="1"/>
    <col min="16" max="16" width="7.265625" hidden="1" customWidth="1"/>
    <col min="17" max="18" width="7.1328125" hidden="1" customWidth="1"/>
    <col min="19" max="19" width="0" hidden="1" customWidth="1"/>
    <col min="20" max="23" width="7.1328125" hidden="1" customWidth="1"/>
    <col min="24" max="24" width="7.1328125" bestFit="1" customWidth="1"/>
    <col min="25" max="25" width="12.3984375" customWidth="1"/>
    <col min="26" max="26" width="14" customWidth="1"/>
    <col min="27" max="27" width="14.73046875" customWidth="1"/>
    <col min="28" max="28" width="13.265625" customWidth="1"/>
  </cols>
  <sheetData>
    <row r="1" spans="1:23" ht="51.6" customHeight="1" x14ac:dyDescent="0.45">
      <c r="F1" s="2"/>
      <c r="I1"/>
      <c r="J1" s="2"/>
      <c r="L1" s="2"/>
      <c r="M1" s="1"/>
    </row>
    <row r="2" spans="1:23" ht="159.94999999999999" customHeight="1" x14ac:dyDescent="0.45">
      <c r="F2" s="2"/>
      <c r="I2"/>
      <c r="J2" s="2"/>
      <c r="L2" s="2"/>
      <c r="M2" s="1"/>
    </row>
    <row r="3" spans="1:23" ht="14.25" hidden="1" x14ac:dyDescent="0.45">
      <c r="F3" s="2"/>
      <c r="I3"/>
      <c r="J3" s="2"/>
      <c r="L3" s="2"/>
      <c r="M3" s="1"/>
    </row>
    <row r="4" spans="1:23" ht="14.25" hidden="1" x14ac:dyDescent="0.45">
      <c r="F4" s="2"/>
      <c r="I4"/>
      <c r="J4" s="2"/>
      <c r="L4" s="2"/>
      <c r="M4" s="1"/>
    </row>
    <row r="5" spans="1:23" ht="14.25" hidden="1" x14ac:dyDescent="0.45">
      <c r="F5" s="2"/>
      <c r="I5"/>
      <c r="J5" s="2"/>
      <c r="L5" s="2"/>
      <c r="M5" s="1"/>
    </row>
    <row r="6" spans="1:23" ht="14.25" hidden="1" x14ac:dyDescent="0.45">
      <c r="F6" s="2"/>
      <c r="I6"/>
      <c r="J6" s="2"/>
      <c r="L6" s="2"/>
      <c r="M6" s="1"/>
    </row>
    <row r="7" spans="1:23" ht="14.25" hidden="1" x14ac:dyDescent="0.45">
      <c r="F7" s="2"/>
      <c r="I7"/>
      <c r="J7" s="2"/>
      <c r="L7" s="2"/>
      <c r="M7" s="1"/>
    </row>
    <row r="8" spans="1:23" ht="15" hidden="1" customHeight="1" x14ac:dyDescent="0.45"/>
    <row r="9" spans="1:23" ht="15" hidden="1" customHeight="1" x14ac:dyDescent="0.45"/>
    <row r="10" spans="1:23" s="11" customFormat="1" ht="46.15" x14ac:dyDescent="1.35">
      <c r="B10" s="12">
        <f>SUBTOTAL(3,Table_Master_Inventory[Master Record ID])</f>
        <v>14</v>
      </c>
      <c r="F10" s="13" t="s">
        <v>0</v>
      </c>
      <c r="G10" s="14"/>
      <c r="H10" s="14"/>
      <c r="J10" s="14"/>
      <c r="K10" s="14"/>
      <c r="L10" s="14"/>
      <c r="M10" s="15"/>
    </row>
    <row r="11" spans="1:23" s="5" customFormat="1" ht="135" x14ac:dyDescent="0.45">
      <c r="A11" s="5" t="s">
        <v>1</v>
      </c>
      <c r="B11" s="5" t="s">
        <v>2</v>
      </c>
      <c r="C11" s="5" t="s">
        <v>3</v>
      </c>
      <c r="D11" s="5" t="s">
        <v>4</v>
      </c>
      <c r="E11" s="5" t="s">
        <v>5</v>
      </c>
      <c r="F11" s="6" t="s">
        <v>6</v>
      </c>
      <c r="G11" s="6" t="s">
        <v>7</v>
      </c>
      <c r="H11" s="6" t="s">
        <v>8</v>
      </c>
      <c r="I11" s="5" t="s">
        <v>9</v>
      </c>
      <c r="J11" s="6" t="s">
        <v>10</v>
      </c>
      <c r="K11" s="6" t="s">
        <v>11</v>
      </c>
      <c r="L11" s="6" t="s">
        <v>12</v>
      </c>
      <c r="M11" s="7" t="s">
        <v>13</v>
      </c>
      <c r="N11" s="5" t="s">
        <v>14</v>
      </c>
      <c r="O11" s="5" t="s">
        <v>15</v>
      </c>
      <c r="P11" s="8" t="s">
        <v>16</v>
      </c>
      <c r="Q11" s="5" t="s">
        <v>17</v>
      </c>
      <c r="R11" s="5" t="s">
        <v>18</v>
      </c>
      <c r="S11" s="5" t="s">
        <v>19</v>
      </c>
      <c r="T11" s="5" t="s">
        <v>20</v>
      </c>
      <c r="U11" s="5" t="s">
        <v>21</v>
      </c>
      <c r="V11" s="5" t="s">
        <v>22</v>
      </c>
      <c r="W11" s="5" t="s">
        <v>23</v>
      </c>
    </row>
    <row r="12" spans="1:23" ht="14.25" hidden="1" x14ac:dyDescent="0.45">
      <c r="A12">
        <v>1</v>
      </c>
      <c r="B12" t="s">
        <v>24</v>
      </c>
      <c r="C12" t="s">
        <v>25</v>
      </c>
      <c r="D12" t="s">
        <v>26</v>
      </c>
      <c r="E12" t="s">
        <v>27</v>
      </c>
      <c r="F12" s="2" t="s">
        <v>28</v>
      </c>
      <c r="I12" t="s">
        <v>29</v>
      </c>
      <c r="J12" s="2" t="s">
        <v>30</v>
      </c>
      <c r="K12" s="2">
        <v>4</v>
      </c>
      <c r="L12" s="2">
        <v>2</v>
      </c>
      <c r="M12" s="1">
        <v>9.8800000000000008</v>
      </c>
      <c r="N12" t="s">
        <v>31</v>
      </c>
      <c r="O12" t="str">
        <f>_xlfn.CONCAT("https://raw.githubusercontent.com/LaryBird12/geo-images/main/images/",Table_Master_Inventory[[#This Row],[Master Record ID]],".jpg")</f>
        <v>https://raw.githubusercontent.com/LaryBird12/geo-images/main/images/1.jpg</v>
      </c>
      <c r="P12" s="3"/>
      <c r="Q12" t="b">
        <v>1</v>
      </c>
      <c r="R12" t="b">
        <v>0</v>
      </c>
      <c r="S12" t="b">
        <v>0</v>
      </c>
      <c r="T12" t="b">
        <v>0</v>
      </c>
      <c r="U12" t="b">
        <v>0</v>
      </c>
      <c r="V12" t="b">
        <v>0</v>
      </c>
      <c r="W12" t="b">
        <v>1</v>
      </c>
    </row>
    <row r="13" spans="1:23" ht="14.25" hidden="1" x14ac:dyDescent="0.45">
      <c r="A13">
        <v>2</v>
      </c>
      <c r="B13" t="s">
        <v>32</v>
      </c>
      <c r="C13" t="s">
        <v>25</v>
      </c>
      <c r="D13" t="s">
        <v>26</v>
      </c>
      <c r="E13" t="s">
        <v>27</v>
      </c>
      <c r="F13" s="2"/>
      <c r="I13" t="s">
        <v>29</v>
      </c>
      <c r="J13" s="2" t="s">
        <v>33</v>
      </c>
      <c r="K13" s="2">
        <v>4</v>
      </c>
      <c r="L13" s="2">
        <v>4</v>
      </c>
      <c r="M13" s="1">
        <v>10.66</v>
      </c>
      <c r="N13" t="s">
        <v>31</v>
      </c>
      <c r="O13" t="str">
        <f>_xlfn.CONCAT("https://raw.githubusercontent.com/LaryBird12/geo-images/main/images/",Table_Master_Inventory[[#This Row],[Master Record ID]],".jpg")</f>
        <v>https://raw.githubusercontent.com/LaryBird12/geo-images/main/images/2.jpg</v>
      </c>
      <c r="P13" s="3"/>
      <c r="Q13" t="b">
        <v>1</v>
      </c>
      <c r="R13" t="b">
        <v>0</v>
      </c>
      <c r="S13" t="b">
        <v>0</v>
      </c>
      <c r="T13" t="b">
        <v>0</v>
      </c>
      <c r="U13" t="b">
        <v>0</v>
      </c>
      <c r="V13" t="b">
        <v>0</v>
      </c>
      <c r="W13" t="b">
        <v>1</v>
      </c>
    </row>
    <row r="14" spans="1:23" ht="14.25" hidden="1" x14ac:dyDescent="0.45">
      <c r="A14">
        <v>3</v>
      </c>
      <c r="B14" t="s">
        <v>34</v>
      </c>
      <c r="C14" t="s">
        <v>25</v>
      </c>
      <c r="D14" t="s">
        <v>26</v>
      </c>
      <c r="E14" t="s">
        <v>27</v>
      </c>
      <c r="F14" s="2" t="s">
        <v>35</v>
      </c>
      <c r="I14" t="s">
        <v>29</v>
      </c>
      <c r="J14" s="2">
        <v>959340</v>
      </c>
      <c r="K14" s="2">
        <v>12</v>
      </c>
      <c r="L14" s="2">
        <v>4</v>
      </c>
      <c r="M14" s="1">
        <v>9.48</v>
      </c>
      <c r="N14" t="s">
        <v>31</v>
      </c>
      <c r="O14" t="str">
        <f>_xlfn.CONCAT("https://raw.githubusercontent.com/LaryBird12/geo-images/main/images/",Table_Master_Inventory[[#This Row],[Master Record ID]],".jpg")</f>
        <v>https://raw.githubusercontent.com/LaryBird12/geo-images/main/images/3.jpg</v>
      </c>
      <c r="P14" s="3"/>
      <c r="Q14" t="b">
        <v>1</v>
      </c>
      <c r="R14" t="b">
        <v>0</v>
      </c>
      <c r="S14" t="b">
        <v>0</v>
      </c>
      <c r="T14" t="b">
        <v>0</v>
      </c>
      <c r="U14" t="b">
        <v>0</v>
      </c>
      <c r="V14" t="b">
        <v>0</v>
      </c>
      <c r="W14" t="b">
        <v>1</v>
      </c>
    </row>
    <row r="15" spans="1:23" ht="14.25" hidden="1" x14ac:dyDescent="0.45">
      <c r="A15">
        <v>4</v>
      </c>
      <c r="B15" t="s">
        <v>36</v>
      </c>
      <c r="C15" t="s">
        <v>25</v>
      </c>
      <c r="D15" t="s">
        <v>26</v>
      </c>
      <c r="E15" t="s">
        <v>27</v>
      </c>
      <c r="F15" s="2" t="s">
        <v>37</v>
      </c>
      <c r="I15" t="s">
        <v>29</v>
      </c>
      <c r="J15" s="2">
        <v>1005183384</v>
      </c>
      <c r="K15" s="2">
        <v>12</v>
      </c>
      <c r="L15" s="2">
        <v>4</v>
      </c>
      <c r="M15" s="1">
        <v>9.48</v>
      </c>
      <c r="N15" t="s">
        <v>31</v>
      </c>
      <c r="O15" t="str">
        <f>_xlfn.CONCAT("https://raw.githubusercontent.com/LaryBird12/geo-images/main/images/",Table_Master_Inventory[[#This Row],[Master Record ID]],".jpg")</f>
        <v>https://raw.githubusercontent.com/LaryBird12/geo-images/main/images/4.jpg</v>
      </c>
      <c r="P15" s="3"/>
      <c r="Q15" t="b">
        <v>1</v>
      </c>
      <c r="R15" t="b">
        <v>0</v>
      </c>
      <c r="S15" t="b">
        <v>0</v>
      </c>
      <c r="T15" t="b">
        <v>0</v>
      </c>
      <c r="U15" t="b">
        <v>0</v>
      </c>
      <c r="V15" t="b">
        <v>0</v>
      </c>
      <c r="W15" t="b">
        <v>1</v>
      </c>
    </row>
    <row r="16" spans="1:23" ht="14.25" hidden="1" x14ac:dyDescent="0.45">
      <c r="A16">
        <v>5</v>
      </c>
      <c r="B16" t="s">
        <v>38</v>
      </c>
      <c r="C16" t="s">
        <v>25</v>
      </c>
      <c r="D16" t="s">
        <v>26</v>
      </c>
      <c r="E16" t="s">
        <v>27</v>
      </c>
      <c r="F16" s="2"/>
      <c r="I16" t="s">
        <v>29</v>
      </c>
      <c r="J16" s="2">
        <v>349236</v>
      </c>
      <c r="K16" s="2">
        <v>10</v>
      </c>
      <c r="L16" s="2">
        <v>4</v>
      </c>
      <c r="M16" s="1">
        <v>0.76</v>
      </c>
      <c r="N16" t="s">
        <v>31</v>
      </c>
      <c r="O16" t="str">
        <f>_xlfn.CONCAT("https://raw.githubusercontent.com/LaryBird12/geo-images/main/images/",Table_Master_Inventory[[#This Row],[Master Record ID]],".jpg")</f>
        <v>https://raw.githubusercontent.com/LaryBird12/geo-images/main/images/5.jpg</v>
      </c>
      <c r="P16" s="3"/>
      <c r="Q16" t="b">
        <v>1</v>
      </c>
      <c r="R16" t="b">
        <v>0</v>
      </c>
      <c r="S16" t="b">
        <v>0</v>
      </c>
      <c r="T16" t="b">
        <v>0</v>
      </c>
      <c r="U16" t="b">
        <v>0</v>
      </c>
      <c r="V16" t="b">
        <v>0</v>
      </c>
      <c r="W16" t="b">
        <v>1</v>
      </c>
    </row>
    <row r="17" spans="1:23" ht="14.25" hidden="1" x14ac:dyDescent="0.45">
      <c r="A17">
        <v>6</v>
      </c>
      <c r="B17" t="s">
        <v>39</v>
      </c>
      <c r="C17" t="s">
        <v>25</v>
      </c>
      <c r="D17" t="s">
        <v>26</v>
      </c>
      <c r="E17" t="s">
        <v>27</v>
      </c>
      <c r="F17" s="2"/>
      <c r="I17" t="s">
        <v>40</v>
      </c>
      <c r="J17" s="2" t="s">
        <v>41</v>
      </c>
      <c r="K17" s="2">
        <v>50</v>
      </c>
      <c r="L17" s="2">
        <v>10</v>
      </c>
      <c r="M17" s="1">
        <v>0.22</v>
      </c>
      <c r="N17" t="s">
        <v>31</v>
      </c>
      <c r="O17" t="str">
        <f>_xlfn.CONCAT("https://raw.githubusercontent.com/LaryBird12/geo-images/main/images/",Table_Master_Inventory[[#This Row],[Master Record ID]],".jpg")</f>
        <v>https://raw.githubusercontent.com/LaryBird12/geo-images/main/images/6.jpg</v>
      </c>
      <c r="P17" s="3"/>
      <c r="Q17" t="b">
        <v>1</v>
      </c>
      <c r="R17" t="b">
        <v>0</v>
      </c>
      <c r="S17" t="b">
        <v>0</v>
      </c>
      <c r="T17" t="b">
        <v>0</v>
      </c>
      <c r="U17" t="b">
        <v>0</v>
      </c>
      <c r="V17" t="b">
        <v>0</v>
      </c>
      <c r="W17" t="b">
        <v>1</v>
      </c>
    </row>
    <row r="18" spans="1:23" ht="14.25" hidden="1" x14ac:dyDescent="0.45">
      <c r="A18">
        <v>7</v>
      </c>
      <c r="B18" t="s">
        <v>42</v>
      </c>
      <c r="C18" t="s">
        <v>25</v>
      </c>
      <c r="D18" t="s">
        <v>26</v>
      </c>
      <c r="E18" t="s">
        <v>27</v>
      </c>
      <c r="F18" s="2"/>
      <c r="I18" t="s">
        <v>40</v>
      </c>
      <c r="J18" s="2" t="s">
        <v>43</v>
      </c>
      <c r="K18" s="2">
        <v>50</v>
      </c>
      <c r="L18" s="2">
        <v>10</v>
      </c>
      <c r="M18" s="1">
        <v>0.13</v>
      </c>
      <c r="N18" t="s">
        <v>31</v>
      </c>
      <c r="O18" t="str">
        <f>_xlfn.CONCAT("https://raw.githubusercontent.com/LaryBird12/geo-images/main/images/",Table_Master_Inventory[[#This Row],[Master Record ID]],".jpg")</f>
        <v>https://raw.githubusercontent.com/LaryBird12/geo-images/main/images/7.jpg</v>
      </c>
      <c r="P18" s="3"/>
      <c r="Q18" t="b">
        <v>1</v>
      </c>
      <c r="R18" t="b">
        <v>0</v>
      </c>
      <c r="S18" t="b">
        <v>0</v>
      </c>
      <c r="T18" t="b">
        <v>0</v>
      </c>
      <c r="U18" t="b">
        <v>0</v>
      </c>
      <c r="V18" t="b">
        <v>0</v>
      </c>
      <c r="W18" t="b">
        <v>1</v>
      </c>
    </row>
    <row r="19" spans="1:23" ht="14.25" hidden="1" x14ac:dyDescent="0.45">
      <c r="A19">
        <v>8</v>
      </c>
      <c r="B19" t="s">
        <v>44</v>
      </c>
      <c r="C19" t="s">
        <v>25</v>
      </c>
      <c r="D19" t="s">
        <v>26</v>
      </c>
      <c r="E19" t="s">
        <v>27</v>
      </c>
      <c r="F19" s="2" t="s">
        <v>45</v>
      </c>
      <c r="I19" t="s">
        <v>40</v>
      </c>
      <c r="J19" s="2" t="s">
        <v>46</v>
      </c>
      <c r="K19" s="2">
        <v>50</v>
      </c>
      <c r="L19" s="2">
        <v>10</v>
      </c>
      <c r="M19" s="1">
        <v>6.65</v>
      </c>
      <c r="O19" t="str">
        <f>_xlfn.CONCAT("https://raw.githubusercontent.com/LaryBird12/geo-images/main/images/",Table_Master_Inventory[[#This Row],[Master Record ID]],".jpg")</f>
        <v>https://raw.githubusercontent.com/LaryBird12/geo-images/main/images/8.jpg</v>
      </c>
      <c r="P19" s="3"/>
      <c r="Q19" t="b">
        <v>1</v>
      </c>
      <c r="R19" t="b">
        <v>0</v>
      </c>
      <c r="S19" t="b">
        <v>0</v>
      </c>
      <c r="T19" t="b">
        <v>0</v>
      </c>
      <c r="U19" t="b">
        <v>0</v>
      </c>
      <c r="V19" t="b">
        <v>0</v>
      </c>
      <c r="W19" t="b">
        <v>1</v>
      </c>
    </row>
    <row r="20" spans="1:23" ht="14.25" hidden="1" x14ac:dyDescent="0.45">
      <c r="A20">
        <v>9</v>
      </c>
      <c r="B20" t="s">
        <v>47</v>
      </c>
      <c r="C20" t="s">
        <v>25</v>
      </c>
      <c r="D20" t="s">
        <v>26</v>
      </c>
      <c r="E20" t="s">
        <v>27</v>
      </c>
      <c r="F20" s="2"/>
      <c r="I20" t="s">
        <v>40</v>
      </c>
      <c r="J20" s="2" t="s">
        <v>48</v>
      </c>
      <c r="K20" s="2">
        <v>100</v>
      </c>
      <c r="L20" s="2">
        <v>20</v>
      </c>
      <c r="M20" s="1">
        <v>0.12</v>
      </c>
      <c r="O20" t="str">
        <f>_xlfn.CONCAT("https://raw.githubusercontent.com/LaryBird12/geo-images/main/images/",Table_Master_Inventory[[#This Row],[Master Record ID]],".jpg")</f>
        <v>https://raw.githubusercontent.com/LaryBird12/geo-images/main/images/9.jpg</v>
      </c>
      <c r="P20" s="3"/>
      <c r="Q20" t="b">
        <v>1</v>
      </c>
      <c r="R20" t="b">
        <v>0</v>
      </c>
      <c r="S20" t="b">
        <v>0</v>
      </c>
      <c r="T20" t="b">
        <v>0</v>
      </c>
      <c r="U20" t="b">
        <v>0</v>
      </c>
      <c r="V20" t="b">
        <v>0</v>
      </c>
      <c r="W20" t="b">
        <v>1</v>
      </c>
    </row>
    <row r="21" spans="1:23" ht="14.25" hidden="1" x14ac:dyDescent="0.45">
      <c r="A21">
        <v>10</v>
      </c>
      <c r="B21" t="s">
        <v>49</v>
      </c>
      <c r="C21" t="s">
        <v>25</v>
      </c>
      <c r="D21" t="s">
        <v>26</v>
      </c>
      <c r="E21" t="s">
        <v>27</v>
      </c>
      <c r="F21" s="2"/>
      <c r="I21" t="s">
        <v>40</v>
      </c>
      <c r="J21" s="2" t="s">
        <v>50</v>
      </c>
      <c r="K21" s="2">
        <v>100</v>
      </c>
      <c r="L21" s="2">
        <v>20</v>
      </c>
      <c r="M21" s="1">
        <v>0.13</v>
      </c>
      <c r="O21" t="str">
        <f>_xlfn.CONCAT("https://raw.githubusercontent.com/LaryBird12/geo-images/main/images/",Table_Master_Inventory[[#This Row],[Master Record ID]],".jpg")</f>
        <v>https://raw.githubusercontent.com/LaryBird12/geo-images/main/images/10.jpg</v>
      </c>
      <c r="P21" s="3"/>
      <c r="Q21" t="b">
        <v>1</v>
      </c>
      <c r="R21" t="b">
        <v>0</v>
      </c>
      <c r="S21" t="b">
        <v>0</v>
      </c>
      <c r="T21" t="b">
        <v>0</v>
      </c>
      <c r="U21" t="b">
        <v>0</v>
      </c>
      <c r="V21" t="b">
        <v>0</v>
      </c>
      <c r="W21" t="b">
        <v>1</v>
      </c>
    </row>
    <row r="22" spans="1:23" ht="14.25" hidden="1" x14ac:dyDescent="0.45">
      <c r="A22">
        <v>11</v>
      </c>
      <c r="B22" t="s">
        <v>51</v>
      </c>
      <c r="C22" t="s">
        <v>25</v>
      </c>
      <c r="D22" t="s">
        <v>26</v>
      </c>
      <c r="E22" t="s">
        <v>27</v>
      </c>
      <c r="F22" s="2"/>
      <c r="I22" t="s">
        <v>40</v>
      </c>
      <c r="J22" s="2" t="s">
        <v>52</v>
      </c>
      <c r="K22" s="2">
        <v>100</v>
      </c>
      <c r="L22" s="2">
        <v>20</v>
      </c>
      <c r="M22" s="1">
        <v>0.26</v>
      </c>
      <c r="O22" t="str">
        <f>_xlfn.CONCAT("https://raw.githubusercontent.com/LaryBird12/geo-images/main/images/",Table_Master_Inventory[[#This Row],[Master Record ID]],".jpg")</f>
        <v>https://raw.githubusercontent.com/LaryBird12/geo-images/main/images/11.jpg</v>
      </c>
      <c r="P22" s="3"/>
      <c r="Q22" t="b">
        <v>1</v>
      </c>
      <c r="R22" t="b">
        <v>0</v>
      </c>
      <c r="S22" t="b">
        <v>0</v>
      </c>
      <c r="T22" t="b">
        <v>0</v>
      </c>
      <c r="U22" t="b">
        <v>0</v>
      </c>
      <c r="V22" t="b">
        <v>0</v>
      </c>
      <c r="W22" t="b">
        <v>1</v>
      </c>
    </row>
    <row r="23" spans="1:23" ht="14.25" hidden="1" x14ac:dyDescent="0.45">
      <c r="A23">
        <v>12</v>
      </c>
      <c r="B23" t="s">
        <v>53</v>
      </c>
      <c r="C23" t="s">
        <v>25</v>
      </c>
      <c r="D23" t="s">
        <v>26</v>
      </c>
      <c r="E23" t="s">
        <v>27</v>
      </c>
      <c r="F23" s="2"/>
      <c r="I23" t="s">
        <v>40</v>
      </c>
      <c r="J23" s="2" t="s">
        <v>54</v>
      </c>
      <c r="K23" s="2">
        <v>100</v>
      </c>
      <c r="L23" s="2">
        <v>20</v>
      </c>
      <c r="M23" s="1">
        <v>0.11</v>
      </c>
      <c r="O23" t="str">
        <f>_xlfn.CONCAT("https://raw.githubusercontent.com/LaryBird12/geo-images/main/images/",Table_Master_Inventory[[#This Row],[Master Record ID]],".jpg")</f>
        <v>https://raw.githubusercontent.com/LaryBird12/geo-images/main/images/12.jpg</v>
      </c>
      <c r="P23" s="3"/>
      <c r="Q23" t="b">
        <v>1</v>
      </c>
      <c r="R23" t="b">
        <v>0</v>
      </c>
      <c r="S23" t="b">
        <v>0</v>
      </c>
      <c r="T23" t="b">
        <v>0</v>
      </c>
      <c r="U23" t="b">
        <v>0</v>
      </c>
      <c r="V23" t="b">
        <v>0</v>
      </c>
      <c r="W23" t="b">
        <v>1</v>
      </c>
    </row>
    <row r="24" spans="1:23" ht="14.25" hidden="1" x14ac:dyDescent="0.45">
      <c r="A24">
        <v>13</v>
      </c>
      <c r="B24" t="s">
        <v>55</v>
      </c>
      <c r="C24" t="s">
        <v>25</v>
      </c>
      <c r="D24" t="s">
        <v>26</v>
      </c>
      <c r="E24" t="s">
        <v>27</v>
      </c>
      <c r="F24" s="2"/>
      <c r="I24" t="s">
        <v>40</v>
      </c>
      <c r="J24" s="2" t="s">
        <v>56</v>
      </c>
      <c r="K24" s="2">
        <v>50</v>
      </c>
      <c r="L24" s="2">
        <v>20</v>
      </c>
      <c r="M24" s="1">
        <v>0.22</v>
      </c>
      <c r="O24" t="str">
        <f>_xlfn.CONCAT("https://raw.githubusercontent.com/LaryBird12/geo-images/main/images/",Table_Master_Inventory[[#This Row],[Master Record ID]],".jpg")</f>
        <v>https://raw.githubusercontent.com/LaryBird12/geo-images/main/images/13.jpg</v>
      </c>
      <c r="P24" s="3"/>
      <c r="Q24" t="b">
        <v>1</v>
      </c>
      <c r="R24" t="b">
        <v>0</v>
      </c>
      <c r="S24" t="b">
        <v>0</v>
      </c>
      <c r="T24" t="b">
        <v>0</v>
      </c>
      <c r="U24" t="b">
        <v>0</v>
      </c>
      <c r="V24" t="b">
        <v>0</v>
      </c>
      <c r="W24" t="b">
        <v>1</v>
      </c>
    </row>
    <row r="25" spans="1:23" ht="14.25" hidden="1" x14ac:dyDescent="0.45">
      <c r="A25">
        <v>14</v>
      </c>
      <c r="B25" t="s">
        <v>57</v>
      </c>
      <c r="C25" t="s">
        <v>25</v>
      </c>
      <c r="D25" t="s">
        <v>26</v>
      </c>
      <c r="E25" t="s">
        <v>58</v>
      </c>
      <c r="F25" s="2" t="s">
        <v>45</v>
      </c>
      <c r="I25" t="s">
        <v>29</v>
      </c>
      <c r="J25" s="2">
        <v>292579</v>
      </c>
      <c r="K25" s="2">
        <v>50</v>
      </c>
      <c r="L25" s="2">
        <v>10</v>
      </c>
      <c r="M25" s="1">
        <v>0.08</v>
      </c>
      <c r="O25" t="str">
        <f>_xlfn.CONCAT("https://raw.githubusercontent.com/LaryBird12/geo-images/main/images/",Table_Master_Inventory[[#This Row],[Master Record ID]],".jpg")</f>
        <v>https://raw.githubusercontent.com/LaryBird12/geo-images/main/images/14.jpg</v>
      </c>
      <c r="P25" s="3"/>
      <c r="Q25" t="b">
        <v>1</v>
      </c>
      <c r="R25" t="b">
        <v>0</v>
      </c>
      <c r="S25" t="b">
        <v>0</v>
      </c>
      <c r="T25" t="b">
        <v>0</v>
      </c>
      <c r="U25" t="b">
        <v>0</v>
      </c>
      <c r="V25" t="b">
        <v>0</v>
      </c>
      <c r="W25" t="b">
        <v>1</v>
      </c>
    </row>
    <row r="26" spans="1:23" ht="14.25" hidden="1" x14ac:dyDescent="0.45">
      <c r="A26">
        <v>15</v>
      </c>
      <c r="B26" t="s">
        <v>59</v>
      </c>
      <c r="C26" t="s">
        <v>25</v>
      </c>
      <c r="D26" t="s">
        <v>26</v>
      </c>
      <c r="E26" t="s">
        <v>58</v>
      </c>
      <c r="F26" s="2" t="s">
        <v>60</v>
      </c>
      <c r="I26" t="s">
        <v>40</v>
      </c>
      <c r="J26" s="2" t="s">
        <v>61</v>
      </c>
      <c r="K26" s="2">
        <v>50</v>
      </c>
      <c r="L26" s="2">
        <v>20</v>
      </c>
      <c r="M26" s="1">
        <v>0.63</v>
      </c>
      <c r="O26" t="str">
        <f>_xlfn.CONCAT("https://raw.githubusercontent.com/LaryBird12/geo-images/main/images/",Table_Master_Inventory[[#This Row],[Master Record ID]],".jpg")</f>
        <v>https://raw.githubusercontent.com/LaryBird12/geo-images/main/images/15.jpg</v>
      </c>
      <c r="P26" s="3"/>
      <c r="Q26" t="b">
        <v>1</v>
      </c>
      <c r="R26" t="b">
        <v>0</v>
      </c>
      <c r="S26" t="b">
        <v>0</v>
      </c>
      <c r="T26" t="b">
        <v>0</v>
      </c>
      <c r="U26" t="b">
        <v>0</v>
      </c>
      <c r="V26" t="b">
        <v>0</v>
      </c>
      <c r="W26" t="b">
        <v>1</v>
      </c>
    </row>
    <row r="27" spans="1:23" ht="14.25" hidden="1" x14ac:dyDescent="0.45">
      <c r="A27">
        <v>16</v>
      </c>
      <c r="B27" t="s">
        <v>62</v>
      </c>
      <c r="C27" t="s">
        <v>25</v>
      </c>
      <c r="D27" t="s">
        <v>26</v>
      </c>
      <c r="E27" t="s">
        <v>58</v>
      </c>
      <c r="F27" s="2" t="s">
        <v>60</v>
      </c>
      <c r="I27" t="s">
        <v>40</v>
      </c>
      <c r="J27" s="2" t="s">
        <v>63</v>
      </c>
      <c r="K27" s="2">
        <v>20</v>
      </c>
      <c r="L27" s="2">
        <v>10</v>
      </c>
      <c r="M27" s="1">
        <v>2.13</v>
      </c>
      <c r="O27" t="str">
        <f>_xlfn.CONCAT("https://raw.githubusercontent.com/LaryBird12/geo-images/main/images/",Table_Master_Inventory[[#This Row],[Master Record ID]],".jpg")</f>
        <v>https://raw.githubusercontent.com/LaryBird12/geo-images/main/images/16.jpg</v>
      </c>
      <c r="P27" s="3"/>
      <c r="Q27" t="b">
        <v>1</v>
      </c>
      <c r="R27" t="b">
        <v>0</v>
      </c>
      <c r="S27" t="b">
        <v>0</v>
      </c>
      <c r="T27" t="b">
        <v>0</v>
      </c>
      <c r="U27" t="b">
        <v>0</v>
      </c>
      <c r="V27" t="b">
        <v>0</v>
      </c>
      <c r="W27" t="b">
        <v>1</v>
      </c>
    </row>
    <row r="28" spans="1:23" ht="14.25" hidden="1" x14ac:dyDescent="0.45">
      <c r="A28">
        <v>17</v>
      </c>
      <c r="B28" t="s">
        <v>64</v>
      </c>
      <c r="C28" t="s">
        <v>25</v>
      </c>
      <c r="D28" t="s">
        <v>26</v>
      </c>
      <c r="E28" t="s">
        <v>58</v>
      </c>
      <c r="F28" s="2" t="s">
        <v>60</v>
      </c>
      <c r="I28" t="s">
        <v>40</v>
      </c>
      <c r="J28" s="2" t="s">
        <v>65</v>
      </c>
      <c r="K28" s="2">
        <v>10</v>
      </c>
      <c r="L28" s="2">
        <v>10</v>
      </c>
      <c r="M28" s="1">
        <v>2.13</v>
      </c>
      <c r="O28" t="str">
        <f>_xlfn.CONCAT("https://raw.githubusercontent.com/LaryBird12/geo-images/main/images/",Table_Master_Inventory[[#This Row],[Master Record ID]],".jpg")</f>
        <v>https://raw.githubusercontent.com/LaryBird12/geo-images/main/images/17.jpg</v>
      </c>
      <c r="P28" s="3"/>
      <c r="Q28" t="b">
        <v>1</v>
      </c>
      <c r="R28" t="b">
        <v>0</v>
      </c>
      <c r="S28" t="b">
        <v>0</v>
      </c>
      <c r="T28" t="b">
        <v>0</v>
      </c>
      <c r="U28" t="b">
        <v>0</v>
      </c>
      <c r="V28" t="b">
        <v>0</v>
      </c>
      <c r="W28" t="b">
        <v>1</v>
      </c>
    </row>
    <row r="29" spans="1:23" ht="14.25" hidden="1" x14ac:dyDescent="0.45">
      <c r="A29">
        <v>18</v>
      </c>
      <c r="B29" t="s">
        <v>66</v>
      </c>
      <c r="C29" t="s">
        <v>25</v>
      </c>
      <c r="D29" t="s">
        <v>26</v>
      </c>
      <c r="E29" t="s">
        <v>58</v>
      </c>
      <c r="F29" s="2" t="s">
        <v>60</v>
      </c>
      <c r="I29" t="s">
        <v>29</v>
      </c>
      <c r="J29" s="2">
        <v>1001403027</v>
      </c>
      <c r="K29" s="2">
        <v>50</v>
      </c>
      <c r="L29" s="2">
        <v>20</v>
      </c>
      <c r="M29" s="1">
        <v>0.78</v>
      </c>
      <c r="O29" t="str">
        <f>_xlfn.CONCAT("https://raw.githubusercontent.com/LaryBird12/geo-images/main/images/",Table_Master_Inventory[[#This Row],[Master Record ID]],".jpg")</f>
        <v>https://raw.githubusercontent.com/LaryBird12/geo-images/main/images/18.jpg</v>
      </c>
      <c r="P29" s="3"/>
      <c r="Q29" t="b">
        <v>1</v>
      </c>
      <c r="R29" t="b">
        <v>0</v>
      </c>
      <c r="S29" t="b">
        <v>0</v>
      </c>
      <c r="T29" t="b">
        <v>0</v>
      </c>
      <c r="U29" t="b">
        <v>0</v>
      </c>
      <c r="V29" t="b">
        <v>0</v>
      </c>
      <c r="W29" t="b">
        <v>1</v>
      </c>
    </row>
    <row r="30" spans="1:23" ht="14.25" hidden="1" x14ac:dyDescent="0.45">
      <c r="A30">
        <v>19</v>
      </c>
      <c r="B30" t="s">
        <v>67</v>
      </c>
      <c r="C30" t="s">
        <v>25</v>
      </c>
      <c r="D30" t="s">
        <v>26</v>
      </c>
      <c r="E30" t="s">
        <v>58</v>
      </c>
      <c r="F30" s="2" t="s">
        <v>68</v>
      </c>
      <c r="I30" t="s">
        <v>40</v>
      </c>
      <c r="J30" s="2" t="s">
        <v>69</v>
      </c>
      <c r="K30" s="2">
        <v>10</v>
      </c>
      <c r="L30" s="2">
        <v>4</v>
      </c>
      <c r="M30" s="1">
        <v>0.38</v>
      </c>
      <c r="O30" t="str">
        <f>_xlfn.CONCAT("https://raw.githubusercontent.com/LaryBird12/geo-images/main/images/",Table_Master_Inventory[[#This Row],[Master Record ID]],".jpg")</f>
        <v>https://raw.githubusercontent.com/LaryBird12/geo-images/main/images/19.jpg</v>
      </c>
      <c r="P30" s="3"/>
      <c r="Q30" t="b">
        <v>1</v>
      </c>
      <c r="R30" t="b">
        <v>0</v>
      </c>
      <c r="S30" t="b">
        <v>0</v>
      </c>
      <c r="T30" t="b">
        <v>0</v>
      </c>
      <c r="U30" t="b">
        <v>0</v>
      </c>
      <c r="V30" t="b">
        <v>0</v>
      </c>
      <c r="W30" t="b">
        <v>1</v>
      </c>
    </row>
    <row r="31" spans="1:23" ht="14.25" hidden="1" x14ac:dyDescent="0.45">
      <c r="A31">
        <v>20</v>
      </c>
      <c r="B31" t="s">
        <v>70</v>
      </c>
      <c r="C31" t="s">
        <v>25</v>
      </c>
      <c r="D31" t="s">
        <v>26</v>
      </c>
      <c r="E31" t="s">
        <v>58</v>
      </c>
      <c r="F31" s="2" t="s">
        <v>68</v>
      </c>
      <c r="I31" t="s">
        <v>40</v>
      </c>
      <c r="J31" s="2" t="s">
        <v>71</v>
      </c>
      <c r="K31" s="2">
        <v>10</v>
      </c>
      <c r="L31" s="2">
        <v>4</v>
      </c>
      <c r="M31" s="1">
        <v>0.45</v>
      </c>
      <c r="O31" t="str">
        <f>_xlfn.CONCAT("https://raw.githubusercontent.com/LaryBird12/geo-images/main/images/",Table_Master_Inventory[[#This Row],[Master Record ID]],".jpg")</f>
        <v>https://raw.githubusercontent.com/LaryBird12/geo-images/main/images/20.jpg</v>
      </c>
      <c r="P31" s="3"/>
      <c r="Q31" t="b">
        <v>1</v>
      </c>
      <c r="R31" t="b">
        <v>0</v>
      </c>
      <c r="S31" t="b">
        <v>0</v>
      </c>
      <c r="T31" t="b">
        <v>0</v>
      </c>
      <c r="U31" t="b">
        <v>0</v>
      </c>
      <c r="V31" t="b">
        <v>0</v>
      </c>
      <c r="W31" t="b">
        <v>1</v>
      </c>
    </row>
    <row r="32" spans="1:23" ht="14.25" hidden="1" x14ac:dyDescent="0.45">
      <c r="A32">
        <v>21</v>
      </c>
      <c r="B32" t="s">
        <v>72</v>
      </c>
      <c r="C32" t="s">
        <v>25</v>
      </c>
      <c r="D32" t="s">
        <v>26</v>
      </c>
      <c r="E32" t="s">
        <v>58</v>
      </c>
      <c r="F32" s="2" t="s">
        <v>68</v>
      </c>
      <c r="I32" t="s">
        <v>40</v>
      </c>
      <c r="J32" s="2" t="s">
        <v>73</v>
      </c>
      <c r="K32" s="2">
        <v>20</v>
      </c>
      <c r="L32" s="2">
        <v>12</v>
      </c>
      <c r="M32" s="1">
        <v>1.91</v>
      </c>
      <c r="O32" t="str">
        <f>_xlfn.CONCAT("https://raw.githubusercontent.com/LaryBird12/geo-images/main/images/",Table_Master_Inventory[[#This Row],[Master Record ID]],".jpg")</f>
        <v>https://raw.githubusercontent.com/LaryBird12/geo-images/main/images/21.jpg</v>
      </c>
      <c r="P32" s="3"/>
      <c r="Q32" t="b">
        <v>1</v>
      </c>
      <c r="R32" t="b">
        <v>0</v>
      </c>
      <c r="S32" t="b">
        <v>0</v>
      </c>
      <c r="T32" t="b">
        <v>0</v>
      </c>
      <c r="U32" t="b">
        <v>0</v>
      </c>
      <c r="V32" t="b">
        <v>0</v>
      </c>
      <c r="W32" t="b">
        <v>1</v>
      </c>
    </row>
    <row r="33" spans="1:23" ht="14.25" hidden="1" x14ac:dyDescent="0.45">
      <c r="A33">
        <v>22</v>
      </c>
      <c r="B33" t="s">
        <v>74</v>
      </c>
      <c r="C33" t="s">
        <v>25</v>
      </c>
      <c r="D33" t="s">
        <v>26</v>
      </c>
      <c r="E33" t="s">
        <v>58</v>
      </c>
      <c r="F33" s="2" t="s">
        <v>68</v>
      </c>
      <c r="I33" t="s">
        <v>75</v>
      </c>
      <c r="J33" s="2" t="s">
        <v>76</v>
      </c>
      <c r="K33" s="2">
        <v>20</v>
      </c>
      <c r="L33" s="2">
        <v>12</v>
      </c>
      <c r="M33" s="1">
        <v>1.31</v>
      </c>
      <c r="O33" t="str">
        <f>_xlfn.CONCAT("https://raw.githubusercontent.com/LaryBird12/geo-images/main/images/",Table_Master_Inventory[[#This Row],[Master Record ID]],".jpg")</f>
        <v>https://raw.githubusercontent.com/LaryBird12/geo-images/main/images/22.jpg</v>
      </c>
      <c r="P33" s="3"/>
      <c r="Q33" t="b">
        <v>1</v>
      </c>
      <c r="R33" t="b">
        <v>0</v>
      </c>
      <c r="S33" t="b">
        <v>0</v>
      </c>
      <c r="T33" t="b">
        <v>0</v>
      </c>
      <c r="U33" t="b">
        <v>0</v>
      </c>
      <c r="V33" t="b">
        <v>0</v>
      </c>
      <c r="W33" t="b">
        <v>1</v>
      </c>
    </row>
    <row r="34" spans="1:23" ht="14.25" hidden="1" x14ac:dyDescent="0.45">
      <c r="A34">
        <v>23</v>
      </c>
      <c r="B34" t="s">
        <v>77</v>
      </c>
      <c r="C34" t="s">
        <v>25</v>
      </c>
      <c r="D34" t="s">
        <v>26</v>
      </c>
      <c r="E34" t="s">
        <v>58</v>
      </c>
      <c r="F34" s="2" t="s">
        <v>78</v>
      </c>
      <c r="I34" t="s">
        <v>40</v>
      </c>
      <c r="J34" s="2">
        <v>85399</v>
      </c>
      <c r="K34" s="2">
        <v>20</v>
      </c>
      <c r="L34" s="2">
        <v>12</v>
      </c>
      <c r="M34" s="1">
        <v>2.85</v>
      </c>
      <c r="O34" t="str">
        <f>_xlfn.CONCAT("https://raw.githubusercontent.com/LaryBird12/geo-images/main/images/",Table_Master_Inventory[[#This Row],[Master Record ID]],".jpg")</f>
        <v>https://raw.githubusercontent.com/LaryBird12/geo-images/main/images/23.jpg</v>
      </c>
      <c r="P34" s="3"/>
      <c r="Q34" t="b">
        <v>1</v>
      </c>
      <c r="R34" t="b">
        <v>0</v>
      </c>
      <c r="S34" t="b">
        <v>0</v>
      </c>
      <c r="T34" t="b">
        <v>0</v>
      </c>
      <c r="U34" t="b">
        <v>0</v>
      </c>
      <c r="V34" t="b">
        <v>0</v>
      </c>
      <c r="W34" t="b">
        <v>1</v>
      </c>
    </row>
    <row r="35" spans="1:23" ht="14.25" hidden="1" x14ac:dyDescent="0.45">
      <c r="A35">
        <v>24</v>
      </c>
      <c r="B35" t="s">
        <v>79</v>
      </c>
      <c r="C35" t="s">
        <v>25</v>
      </c>
      <c r="D35" t="s">
        <v>26</v>
      </c>
      <c r="E35" t="s">
        <v>58</v>
      </c>
      <c r="F35" s="2" t="s">
        <v>80</v>
      </c>
      <c r="I35" t="s">
        <v>40</v>
      </c>
      <c r="J35" s="2">
        <v>902</v>
      </c>
      <c r="K35" s="2">
        <v>20</v>
      </c>
      <c r="L35" s="2">
        <v>12</v>
      </c>
      <c r="M35" s="1">
        <v>0.24</v>
      </c>
      <c r="O35" t="str">
        <f>_xlfn.CONCAT("https://raw.githubusercontent.com/LaryBird12/geo-images/main/images/",Table_Master_Inventory[[#This Row],[Master Record ID]],".jpg")</f>
        <v>https://raw.githubusercontent.com/LaryBird12/geo-images/main/images/24.jpg</v>
      </c>
      <c r="P35" s="3"/>
      <c r="Q35" t="b">
        <v>1</v>
      </c>
      <c r="R35" t="b">
        <v>0</v>
      </c>
      <c r="S35" t="b">
        <v>0</v>
      </c>
      <c r="T35" t="b">
        <v>0</v>
      </c>
      <c r="U35" t="b">
        <v>0</v>
      </c>
      <c r="V35" t="b">
        <v>0</v>
      </c>
      <c r="W35" t="b">
        <v>1</v>
      </c>
    </row>
    <row r="36" spans="1:23" ht="14.25" hidden="1" x14ac:dyDescent="0.45">
      <c r="A36">
        <v>25</v>
      </c>
      <c r="B36" t="s">
        <v>81</v>
      </c>
      <c r="C36" t="s">
        <v>25</v>
      </c>
      <c r="D36" t="s">
        <v>26</v>
      </c>
      <c r="E36" t="s">
        <v>58</v>
      </c>
      <c r="F36" s="2" t="s">
        <v>82</v>
      </c>
      <c r="I36" t="s">
        <v>40</v>
      </c>
      <c r="J36" s="2">
        <v>901</v>
      </c>
      <c r="K36" s="2">
        <v>20</v>
      </c>
      <c r="L36" s="2">
        <v>12</v>
      </c>
      <c r="M36" s="1">
        <v>0.24</v>
      </c>
      <c r="O36" t="str">
        <f>_xlfn.CONCAT("https://raw.githubusercontent.com/LaryBird12/geo-images/main/images/",Table_Master_Inventory[[#This Row],[Master Record ID]],".jpg")</f>
        <v>https://raw.githubusercontent.com/LaryBird12/geo-images/main/images/25.jpg</v>
      </c>
      <c r="P36" s="3"/>
      <c r="Q36" t="b">
        <v>1</v>
      </c>
      <c r="R36" t="b">
        <v>0</v>
      </c>
      <c r="S36" t="b">
        <v>0</v>
      </c>
      <c r="T36" t="b">
        <v>0</v>
      </c>
      <c r="U36" t="b">
        <v>0</v>
      </c>
      <c r="V36" t="b">
        <v>0</v>
      </c>
      <c r="W36" t="b">
        <v>1</v>
      </c>
    </row>
    <row r="37" spans="1:23" ht="14.25" hidden="1" x14ac:dyDescent="0.45">
      <c r="A37">
        <v>26</v>
      </c>
      <c r="B37" t="s">
        <v>83</v>
      </c>
      <c r="C37" t="s">
        <v>25</v>
      </c>
      <c r="D37" t="s">
        <v>26</v>
      </c>
      <c r="E37" t="s">
        <v>58</v>
      </c>
      <c r="F37" s="2" t="s">
        <v>84</v>
      </c>
      <c r="I37" t="s">
        <v>40</v>
      </c>
      <c r="J37" s="2">
        <v>905</v>
      </c>
      <c r="K37" s="2">
        <v>10</v>
      </c>
      <c r="L37" s="2">
        <v>8</v>
      </c>
      <c r="M37" s="1">
        <v>0.52</v>
      </c>
      <c r="O37" t="str">
        <f>_xlfn.CONCAT("https://raw.githubusercontent.com/LaryBird12/geo-images/main/images/",Table_Master_Inventory[[#This Row],[Master Record ID]],".jpg")</f>
        <v>https://raw.githubusercontent.com/LaryBird12/geo-images/main/images/26.jpg</v>
      </c>
      <c r="P37" s="3"/>
      <c r="Q37" t="b">
        <v>1</v>
      </c>
      <c r="R37" t="b">
        <v>0</v>
      </c>
      <c r="S37" t="b">
        <v>0</v>
      </c>
      <c r="T37" t="b">
        <v>0</v>
      </c>
      <c r="U37" t="b">
        <v>0</v>
      </c>
      <c r="V37" t="b">
        <v>0</v>
      </c>
      <c r="W37" t="b">
        <v>1</v>
      </c>
    </row>
    <row r="38" spans="1:23" ht="14.25" hidden="1" x14ac:dyDescent="0.45">
      <c r="A38">
        <v>27</v>
      </c>
      <c r="B38" t="s">
        <v>85</v>
      </c>
      <c r="C38" t="s">
        <v>25</v>
      </c>
      <c r="D38" t="s">
        <v>86</v>
      </c>
      <c r="E38" t="s">
        <v>87</v>
      </c>
      <c r="F38" s="2" t="s">
        <v>88</v>
      </c>
      <c r="I38" t="s">
        <v>29</v>
      </c>
      <c r="J38" s="2">
        <v>234633</v>
      </c>
      <c r="K38" s="2" t="s">
        <v>89</v>
      </c>
      <c r="L38" s="2" t="s">
        <v>89</v>
      </c>
      <c r="M38" s="1">
        <v>49.98</v>
      </c>
      <c r="N38" t="s">
        <v>90</v>
      </c>
      <c r="O38" t="str">
        <f>_xlfn.CONCAT("https://raw.githubusercontent.com/LaryBird12/geo-images/main/images/",Table_Master_Inventory[[#This Row],[Master Record ID]],".jpg")</f>
        <v>https://raw.githubusercontent.com/LaryBird12/geo-images/main/images/27.jpg</v>
      </c>
      <c r="P38" s="3"/>
      <c r="Q38" t="b">
        <v>1</v>
      </c>
      <c r="R38" t="b">
        <v>0</v>
      </c>
      <c r="S38" t="b">
        <v>0</v>
      </c>
      <c r="T38" t="b">
        <v>0</v>
      </c>
      <c r="U38" t="b">
        <v>0</v>
      </c>
      <c r="V38" t="b">
        <v>0</v>
      </c>
      <c r="W38" t="b">
        <v>1</v>
      </c>
    </row>
    <row r="39" spans="1:23" ht="14.25" hidden="1" x14ac:dyDescent="0.45">
      <c r="A39">
        <v>28</v>
      </c>
      <c r="B39" t="s">
        <v>91</v>
      </c>
      <c r="C39" t="s">
        <v>25</v>
      </c>
      <c r="D39" t="s">
        <v>86</v>
      </c>
      <c r="E39" t="s">
        <v>87</v>
      </c>
      <c r="F39" s="2" t="s">
        <v>92</v>
      </c>
      <c r="I39" t="s">
        <v>29</v>
      </c>
      <c r="J39" s="2">
        <v>367827</v>
      </c>
      <c r="K39" s="2" t="s">
        <v>89</v>
      </c>
      <c r="L39" s="2" t="s">
        <v>89</v>
      </c>
      <c r="M39" s="1">
        <v>54.98</v>
      </c>
      <c r="N39" t="s">
        <v>90</v>
      </c>
      <c r="O39" t="str">
        <f>_xlfn.CONCAT("https://raw.githubusercontent.com/LaryBird12/geo-images/main/images/",Table_Master_Inventory[[#This Row],[Master Record ID]],".jpg")</f>
        <v>https://raw.githubusercontent.com/LaryBird12/geo-images/main/images/28.jpg</v>
      </c>
      <c r="P39" s="3"/>
      <c r="Q39" t="b">
        <v>1</v>
      </c>
      <c r="R39" t="b">
        <v>0</v>
      </c>
      <c r="S39" t="b">
        <v>0</v>
      </c>
      <c r="T39" t="b">
        <v>0</v>
      </c>
      <c r="U39" t="b">
        <v>0</v>
      </c>
      <c r="V39" t="b">
        <v>0</v>
      </c>
      <c r="W39" t="b">
        <v>1</v>
      </c>
    </row>
    <row r="40" spans="1:23" ht="14.25" hidden="1" x14ac:dyDescent="0.45">
      <c r="A40">
        <v>29</v>
      </c>
      <c r="B40" t="s">
        <v>93</v>
      </c>
      <c r="C40" t="s">
        <v>25</v>
      </c>
      <c r="D40" t="s">
        <v>86</v>
      </c>
      <c r="E40" t="s">
        <v>87</v>
      </c>
      <c r="F40" s="2" t="s">
        <v>94</v>
      </c>
      <c r="I40" t="s">
        <v>29</v>
      </c>
      <c r="J40" s="2">
        <v>1006213462</v>
      </c>
      <c r="K40" s="2" t="s">
        <v>89</v>
      </c>
      <c r="L40" s="2" t="s">
        <v>89</v>
      </c>
      <c r="M40" s="1">
        <v>0.11</v>
      </c>
      <c r="N40" t="s">
        <v>31</v>
      </c>
      <c r="O40" t="str">
        <f>_xlfn.CONCAT("https://raw.githubusercontent.com/LaryBird12/geo-images/main/images/",Table_Master_Inventory[[#This Row],[Master Record ID]],".jpg")</f>
        <v>https://raw.githubusercontent.com/LaryBird12/geo-images/main/images/29.jpg</v>
      </c>
      <c r="P40" s="3"/>
      <c r="Q40" t="b">
        <v>1</v>
      </c>
      <c r="R40" t="b">
        <v>0</v>
      </c>
      <c r="S40" t="b">
        <v>0</v>
      </c>
      <c r="T40" t="b">
        <v>0</v>
      </c>
      <c r="U40" t="b">
        <v>0</v>
      </c>
      <c r="V40" t="b">
        <v>0</v>
      </c>
      <c r="W40" t="b">
        <v>1</v>
      </c>
    </row>
    <row r="41" spans="1:23" ht="14.25" hidden="1" x14ac:dyDescent="0.45">
      <c r="A41">
        <v>30</v>
      </c>
      <c r="B41" t="s">
        <v>95</v>
      </c>
      <c r="C41" t="s">
        <v>25</v>
      </c>
      <c r="D41" t="s">
        <v>86</v>
      </c>
      <c r="E41" t="s">
        <v>87</v>
      </c>
      <c r="F41" s="2" t="s">
        <v>88</v>
      </c>
      <c r="I41" t="s">
        <v>29</v>
      </c>
      <c r="J41" s="2">
        <v>459976</v>
      </c>
      <c r="K41" s="2" t="s">
        <v>96</v>
      </c>
      <c r="L41" s="2" t="s">
        <v>96</v>
      </c>
      <c r="M41" s="1">
        <v>0.52</v>
      </c>
      <c r="N41" t="s">
        <v>31</v>
      </c>
      <c r="O41" t="str">
        <f>_xlfn.CONCAT("https://raw.githubusercontent.com/LaryBird12/geo-images/main/images/",Table_Master_Inventory[[#This Row],[Master Record ID]],".jpg")</f>
        <v>https://raw.githubusercontent.com/LaryBird12/geo-images/main/images/30.jpg</v>
      </c>
      <c r="P41" s="3"/>
      <c r="Q41" t="b">
        <v>1</v>
      </c>
      <c r="R41" t="b">
        <v>0</v>
      </c>
      <c r="S41" t="b">
        <v>0</v>
      </c>
      <c r="T41" t="b">
        <v>0</v>
      </c>
      <c r="U41" t="b">
        <v>0</v>
      </c>
      <c r="V41" t="b">
        <v>0</v>
      </c>
      <c r="W41" t="b">
        <v>1</v>
      </c>
    </row>
    <row r="42" spans="1:23" ht="14.25" hidden="1" x14ac:dyDescent="0.45">
      <c r="A42">
        <v>31</v>
      </c>
      <c r="B42" t="s">
        <v>97</v>
      </c>
      <c r="C42" t="s">
        <v>25</v>
      </c>
      <c r="D42" t="s">
        <v>86</v>
      </c>
      <c r="E42" t="s">
        <v>87</v>
      </c>
      <c r="F42" s="2" t="s">
        <v>98</v>
      </c>
      <c r="I42" t="s">
        <v>29</v>
      </c>
      <c r="J42" s="2">
        <v>161702</v>
      </c>
      <c r="K42" s="2" t="s">
        <v>96</v>
      </c>
      <c r="L42" s="2" t="s">
        <v>96</v>
      </c>
      <c r="M42" s="1">
        <v>0.76</v>
      </c>
      <c r="N42" t="s">
        <v>31</v>
      </c>
      <c r="O42" t="str">
        <f>_xlfn.CONCAT("https://raw.githubusercontent.com/LaryBird12/geo-images/main/images/",Table_Master_Inventory[[#This Row],[Master Record ID]],".jpg")</f>
        <v>https://raw.githubusercontent.com/LaryBird12/geo-images/main/images/31.jpg</v>
      </c>
      <c r="P42" s="3"/>
      <c r="Q42" t="b">
        <v>1</v>
      </c>
      <c r="R42" t="b">
        <v>0</v>
      </c>
      <c r="S42" t="b">
        <v>0</v>
      </c>
      <c r="T42" t="b">
        <v>0</v>
      </c>
      <c r="U42" t="b">
        <v>0</v>
      </c>
      <c r="V42" t="b">
        <v>0</v>
      </c>
      <c r="W42" t="b">
        <v>1</v>
      </c>
    </row>
    <row r="43" spans="1:23" ht="14.25" hidden="1" x14ac:dyDescent="0.45">
      <c r="A43">
        <v>32</v>
      </c>
      <c r="B43" t="s">
        <v>99</v>
      </c>
      <c r="C43" t="s">
        <v>25</v>
      </c>
      <c r="D43" t="s">
        <v>86</v>
      </c>
      <c r="E43" t="s">
        <v>87</v>
      </c>
      <c r="F43" s="2" t="s">
        <v>100</v>
      </c>
      <c r="I43" t="s">
        <v>101</v>
      </c>
      <c r="J43" s="2" t="s">
        <v>102</v>
      </c>
      <c r="K43" s="2" t="s">
        <v>103</v>
      </c>
      <c r="L43" s="2" t="s">
        <v>104</v>
      </c>
      <c r="M43" s="1"/>
      <c r="O43" t="str">
        <f>_xlfn.CONCAT("https://raw.githubusercontent.com/LaryBird12/geo-images/main/images/",Table_Master_Inventory[[#This Row],[Master Record ID]],".jpg")</f>
        <v>https://raw.githubusercontent.com/LaryBird12/geo-images/main/images/32.jpg</v>
      </c>
      <c r="P43" s="3"/>
      <c r="Q43" t="b">
        <v>1</v>
      </c>
      <c r="R43" t="b">
        <v>0</v>
      </c>
      <c r="S43" t="b">
        <v>0</v>
      </c>
      <c r="T43" t="b">
        <v>0</v>
      </c>
      <c r="U43" t="b">
        <v>0</v>
      </c>
      <c r="V43" t="b">
        <v>0</v>
      </c>
      <c r="W43" t="b">
        <v>1</v>
      </c>
    </row>
    <row r="44" spans="1:23" ht="14.25" hidden="1" x14ac:dyDescent="0.45">
      <c r="A44">
        <v>33</v>
      </c>
      <c r="B44" t="s">
        <v>105</v>
      </c>
      <c r="C44" t="s">
        <v>25</v>
      </c>
      <c r="D44" t="s">
        <v>86</v>
      </c>
      <c r="E44" t="s">
        <v>87</v>
      </c>
      <c r="F44" s="2" t="s">
        <v>106</v>
      </c>
      <c r="I44" t="s">
        <v>101</v>
      </c>
      <c r="J44" s="2" t="s">
        <v>107</v>
      </c>
      <c r="K44" s="2" t="s">
        <v>108</v>
      </c>
      <c r="L44" s="2" t="s">
        <v>104</v>
      </c>
      <c r="M44" s="1"/>
      <c r="O44" t="str">
        <f>_xlfn.CONCAT("https://raw.githubusercontent.com/LaryBird12/geo-images/main/images/",Table_Master_Inventory[[#This Row],[Master Record ID]],".jpg")</f>
        <v>https://raw.githubusercontent.com/LaryBird12/geo-images/main/images/33.jpg</v>
      </c>
      <c r="P44" s="3"/>
      <c r="Q44" t="b">
        <v>1</v>
      </c>
      <c r="R44" t="b">
        <v>0</v>
      </c>
      <c r="S44" t="b">
        <v>0</v>
      </c>
      <c r="T44" t="b">
        <v>0</v>
      </c>
      <c r="U44" t="b">
        <v>0</v>
      </c>
      <c r="V44" t="b">
        <v>0</v>
      </c>
      <c r="W44" t="b">
        <v>1</v>
      </c>
    </row>
    <row r="45" spans="1:23" ht="14.25" hidden="1" x14ac:dyDescent="0.45">
      <c r="A45">
        <v>34</v>
      </c>
      <c r="B45" t="s">
        <v>109</v>
      </c>
      <c r="C45" t="s">
        <v>25</v>
      </c>
      <c r="D45" t="s">
        <v>86</v>
      </c>
      <c r="E45" t="s">
        <v>87</v>
      </c>
      <c r="F45" s="2" t="s">
        <v>110</v>
      </c>
      <c r="I45" t="s">
        <v>101</v>
      </c>
      <c r="J45" s="2" t="s">
        <v>111</v>
      </c>
      <c r="K45" s="2" t="s">
        <v>112</v>
      </c>
      <c r="L45" s="2" t="s">
        <v>104</v>
      </c>
      <c r="M45" s="1"/>
      <c r="O45" t="str">
        <f>_xlfn.CONCAT("https://raw.githubusercontent.com/LaryBird12/geo-images/main/images/",Table_Master_Inventory[[#This Row],[Master Record ID]],".jpg")</f>
        <v>https://raw.githubusercontent.com/LaryBird12/geo-images/main/images/34.jpg</v>
      </c>
      <c r="P45" s="3"/>
      <c r="Q45" t="b">
        <v>1</v>
      </c>
      <c r="R45" t="b">
        <v>0</v>
      </c>
      <c r="S45" t="b">
        <v>0</v>
      </c>
      <c r="T45" t="b">
        <v>0</v>
      </c>
      <c r="U45" t="b">
        <v>0</v>
      </c>
      <c r="V45" t="b">
        <v>0</v>
      </c>
      <c r="W45" t="b">
        <v>1</v>
      </c>
    </row>
    <row r="46" spans="1:23" ht="14.25" hidden="1" x14ac:dyDescent="0.45">
      <c r="A46">
        <v>35</v>
      </c>
      <c r="B46" t="s">
        <v>113</v>
      </c>
      <c r="C46" t="s">
        <v>25</v>
      </c>
      <c r="D46" t="s">
        <v>86</v>
      </c>
      <c r="E46" t="s">
        <v>87</v>
      </c>
      <c r="F46" s="2" t="s">
        <v>114</v>
      </c>
      <c r="I46" t="s">
        <v>29</v>
      </c>
      <c r="J46" s="2">
        <v>459826</v>
      </c>
      <c r="K46" s="2" t="s">
        <v>115</v>
      </c>
      <c r="L46" s="2" t="s">
        <v>116</v>
      </c>
      <c r="M46" s="1">
        <v>0.22</v>
      </c>
      <c r="N46" t="s">
        <v>31</v>
      </c>
      <c r="O46" t="str">
        <f>_xlfn.CONCAT("https://raw.githubusercontent.com/LaryBird12/geo-images/main/images/",Table_Master_Inventory[[#This Row],[Master Record ID]],".jpg")</f>
        <v>https://raw.githubusercontent.com/LaryBird12/geo-images/main/images/35.jpg</v>
      </c>
      <c r="P46" s="3"/>
      <c r="Q46" t="b">
        <v>1</v>
      </c>
      <c r="R46" t="b">
        <v>0</v>
      </c>
      <c r="S46" t="b">
        <v>0</v>
      </c>
      <c r="T46" t="b">
        <v>0</v>
      </c>
      <c r="U46" t="b">
        <v>0</v>
      </c>
      <c r="V46" t="b">
        <v>0</v>
      </c>
      <c r="W46" t="b">
        <v>1</v>
      </c>
    </row>
    <row r="47" spans="1:23" ht="14.25" hidden="1" x14ac:dyDescent="0.45">
      <c r="A47">
        <v>36</v>
      </c>
      <c r="B47" t="s">
        <v>117</v>
      </c>
      <c r="C47" t="s">
        <v>25</v>
      </c>
      <c r="D47" t="s">
        <v>26</v>
      </c>
      <c r="E47" t="s">
        <v>118</v>
      </c>
      <c r="F47" s="2" t="s">
        <v>119</v>
      </c>
      <c r="I47" t="s">
        <v>29</v>
      </c>
      <c r="J47" s="2">
        <v>482425</v>
      </c>
      <c r="K47" s="2" t="s">
        <v>120</v>
      </c>
      <c r="L47" s="2" t="s">
        <v>121</v>
      </c>
      <c r="M47" s="1">
        <v>3.28</v>
      </c>
      <c r="N47" t="s">
        <v>122</v>
      </c>
      <c r="O47" t="str">
        <f>_xlfn.CONCAT("https://raw.githubusercontent.com/LaryBird12/geo-images/main/images/",Table_Master_Inventory[[#This Row],[Master Record ID]],".jpg")</f>
        <v>https://raw.githubusercontent.com/LaryBird12/geo-images/main/images/36.jpg</v>
      </c>
      <c r="P47" s="3"/>
      <c r="Q47" t="b">
        <v>1</v>
      </c>
      <c r="R47" t="b">
        <v>0</v>
      </c>
      <c r="S47" t="b">
        <v>0</v>
      </c>
      <c r="T47" t="b">
        <v>0</v>
      </c>
      <c r="U47" t="b">
        <v>0</v>
      </c>
      <c r="V47" t="b">
        <v>0</v>
      </c>
      <c r="W47" t="b">
        <v>1</v>
      </c>
    </row>
    <row r="48" spans="1:23" ht="14.25" hidden="1" x14ac:dyDescent="0.45">
      <c r="A48">
        <v>37</v>
      </c>
      <c r="B48" t="s">
        <v>123</v>
      </c>
      <c r="C48" t="s">
        <v>25</v>
      </c>
      <c r="D48" t="s">
        <v>26</v>
      </c>
      <c r="E48" t="s">
        <v>118</v>
      </c>
      <c r="F48" s="2" t="s">
        <v>124</v>
      </c>
      <c r="I48" t="s">
        <v>29</v>
      </c>
      <c r="J48" s="2">
        <v>307195</v>
      </c>
      <c r="K48" s="2" t="s">
        <v>120</v>
      </c>
      <c r="L48" s="2" t="s">
        <v>121</v>
      </c>
      <c r="M48" s="1">
        <v>2.98</v>
      </c>
      <c r="N48" t="s">
        <v>122</v>
      </c>
      <c r="O48" t="str">
        <f>_xlfn.CONCAT("https://raw.githubusercontent.com/LaryBird12/geo-images/main/images/",Table_Master_Inventory[[#This Row],[Master Record ID]],".jpg")</f>
        <v>https://raw.githubusercontent.com/LaryBird12/geo-images/main/images/37.jpg</v>
      </c>
      <c r="P48" s="3"/>
      <c r="Q48" t="b">
        <v>1</v>
      </c>
      <c r="R48" t="b">
        <v>0</v>
      </c>
      <c r="S48" t="b">
        <v>0</v>
      </c>
      <c r="T48" t="b">
        <v>0</v>
      </c>
      <c r="U48" t="b">
        <v>0</v>
      </c>
      <c r="V48" t="b">
        <v>0</v>
      </c>
      <c r="W48" t="b">
        <v>1</v>
      </c>
    </row>
    <row r="49" spans="1:23" ht="14.25" hidden="1" x14ac:dyDescent="0.45">
      <c r="A49">
        <v>38</v>
      </c>
      <c r="B49" t="s">
        <v>125</v>
      </c>
      <c r="C49" t="s">
        <v>25</v>
      </c>
      <c r="D49" t="s">
        <v>26</v>
      </c>
      <c r="E49" t="s">
        <v>118</v>
      </c>
      <c r="F49" s="2" t="s">
        <v>126</v>
      </c>
      <c r="I49" t="s">
        <v>29</v>
      </c>
      <c r="J49" s="2" t="s">
        <v>127</v>
      </c>
      <c r="K49" s="2" t="s">
        <v>128</v>
      </c>
      <c r="L49" s="2" t="s">
        <v>128</v>
      </c>
      <c r="M49" s="1">
        <v>13.03</v>
      </c>
      <c r="O49" t="str">
        <f>_xlfn.CONCAT("https://raw.githubusercontent.com/LaryBird12/geo-images/main/images/",Table_Master_Inventory[[#This Row],[Master Record ID]],".jpg")</f>
        <v>https://raw.githubusercontent.com/LaryBird12/geo-images/main/images/38.jpg</v>
      </c>
      <c r="P49" s="3"/>
      <c r="Q49" t="b">
        <v>1</v>
      </c>
      <c r="R49" t="b">
        <v>0</v>
      </c>
      <c r="S49" t="b">
        <v>0</v>
      </c>
      <c r="T49" t="b">
        <v>0</v>
      </c>
      <c r="U49" t="b">
        <v>0</v>
      </c>
      <c r="V49" t="b">
        <v>0</v>
      </c>
      <c r="W49" t="b">
        <v>1</v>
      </c>
    </row>
    <row r="50" spans="1:23" ht="14.25" hidden="1" x14ac:dyDescent="0.45">
      <c r="A50">
        <v>39</v>
      </c>
      <c r="B50" t="s">
        <v>129</v>
      </c>
      <c r="C50" t="s">
        <v>25</v>
      </c>
      <c r="D50" t="s">
        <v>26</v>
      </c>
      <c r="E50" t="s">
        <v>118</v>
      </c>
      <c r="F50" s="2" t="s">
        <v>78</v>
      </c>
      <c r="I50" t="s">
        <v>101</v>
      </c>
      <c r="J50" s="2" t="s">
        <v>130</v>
      </c>
      <c r="K50" s="2">
        <v>50</v>
      </c>
      <c r="L50" s="2">
        <v>20</v>
      </c>
      <c r="M50" s="1">
        <v>0.19</v>
      </c>
      <c r="N50" t="s">
        <v>31</v>
      </c>
      <c r="O50" t="str">
        <f>_xlfn.CONCAT("https://raw.githubusercontent.com/LaryBird12/geo-images/main/images/",Table_Master_Inventory[[#This Row],[Master Record ID]],".jpg")</f>
        <v>https://raw.githubusercontent.com/LaryBird12/geo-images/main/images/39.jpg</v>
      </c>
      <c r="P50" s="3"/>
      <c r="Q50" t="b">
        <v>1</v>
      </c>
      <c r="R50" t="b">
        <v>0</v>
      </c>
      <c r="S50" t="b">
        <v>0</v>
      </c>
      <c r="T50" t="b">
        <v>0</v>
      </c>
      <c r="U50" t="b">
        <v>0</v>
      </c>
      <c r="V50" t="b">
        <v>0</v>
      </c>
      <c r="W50" t="b">
        <v>1</v>
      </c>
    </row>
    <row r="51" spans="1:23" ht="14.25" hidden="1" x14ac:dyDescent="0.45">
      <c r="A51">
        <v>40</v>
      </c>
      <c r="B51" t="s">
        <v>131</v>
      </c>
      <c r="C51" t="s">
        <v>25</v>
      </c>
      <c r="D51" t="s">
        <v>26</v>
      </c>
      <c r="E51" t="s">
        <v>118</v>
      </c>
      <c r="F51" s="2" t="s">
        <v>132</v>
      </c>
      <c r="I51" t="s">
        <v>29</v>
      </c>
      <c r="J51" s="2">
        <v>296167</v>
      </c>
      <c r="K51" s="2">
        <v>100</v>
      </c>
      <c r="L51" s="2">
        <v>20</v>
      </c>
      <c r="M51" s="1">
        <v>0.25</v>
      </c>
      <c r="N51" t="s">
        <v>31</v>
      </c>
      <c r="O51" t="str">
        <f>_xlfn.CONCAT("https://raw.githubusercontent.com/LaryBird12/geo-images/main/images/",Table_Master_Inventory[[#This Row],[Master Record ID]],".jpg")</f>
        <v>https://raw.githubusercontent.com/LaryBird12/geo-images/main/images/40.jpg</v>
      </c>
      <c r="P51" s="3"/>
      <c r="Q51" t="b">
        <v>1</v>
      </c>
      <c r="R51" t="b">
        <v>0</v>
      </c>
      <c r="S51" t="b">
        <v>0</v>
      </c>
      <c r="T51" t="b">
        <v>0</v>
      </c>
      <c r="U51" t="b">
        <v>0</v>
      </c>
      <c r="V51" t="b">
        <v>0</v>
      </c>
      <c r="W51" t="b">
        <v>1</v>
      </c>
    </row>
    <row r="52" spans="1:23" ht="14.25" hidden="1" x14ac:dyDescent="0.45">
      <c r="A52">
        <v>41</v>
      </c>
      <c r="B52" t="s">
        <v>133</v>
      </c>
      <c r="C52" t="s">
        <v>25</v>
      </c>
      <c r="D52" t="s">
        <v>134</v>
      </c>
      <c r="E52" t="s">
        <v>58</v>
      </c>
      <c r="F52" s="2" t="s">
        <v>135</v>
      </c>
      <c r="I52" t="s">
        <v>40</v>
      </c>
      <c r="J52" s="2" t="s">
        <v>136</v>
      </c>
      <c r="K52" s="2">
        <v>4</v>
      </c>
      <c r="L52" s="2">
        <v>4</v>
      </c>
      <c r="M52" s="1">
        <v>0.74</v>
      </c>
      <c r="O52" t="str">
        <f>_xlfn.CONCAT("https://raw.githubusercontent.com/LaryBird12/geo-images/main/images/",Table_Master_Inventory[[#This Row],[Master Record ID]],".jpg")</f>
        <v>https://raw.githubusercontent.com/LaryBird12/geo-images/main/images/41.jpg</v>
      </c>
      <c r="P52" s="3"/>
      <c r="Q52" t="b">
        <v>1</v>
      </c>
      <c r="R52" t="b">
        <v>0</v>
      </c>
      <c r="S52" t="b">
        <v>0</v>
      </c>
      <c r="T52" t="b">
        <v>0</v>
      </c>
      <c r="U52" t="b">
        <v>0</v>
      </c>
      <c r="V52" t="b">
        <v>0</v>
      </c>
      <c r="W52" t="b">
        <v>1</v>
      </c>
    </row>
    <row r="53" spans="1:23" ht="14.25" hidden="1" x14ac:dyDescent="0.45">
      <c r="A53">
        <v>42</v>
      </c>
      <c r="B53" t="s">
        <v>137</v>
      </c>
      <c r="C53" t="s">
        <v>25</v>
      </c>
      <c r="D53" t="s">
        <v>134</v>
      </c>
      <c r="E53" t="s">
        <v>58</v>
      </c>
      <c r="F53" s="2" t="s">
        <v>135</v>
      </c>
      <c r="I53" t="s">
        <v>40</v>
      </c>
      <c r="J53" s="2" t="s">
        <v>138</v>
      </c>
      <c r="K53" s="2" t="s">
        <v>139</v>
      </c>
      <c r="L53" s="2" t="s">
        <v>139</v>
      </c>
      <c r="M53" s="1">
        <v>0.21</v>
      </c>
      <c r="O53" t="str">
        <f>_xlfn.CONCAT("https://raw.githubusercontent.com/LaryBird12/geo-images/main/images/",Table_Master_Inventory[[#This Row],[Master Record ID]],".jpg")</f>
        <v>https://raw.githubusercontent.com/LaryBird12/geo-images/main/images/42.jpg</v>
      </c>
      <c r="P53" s="3"/>
      <c r="Q53" t="b">
        <v>1</v>
      </c>
      <c r="R53" t="b">
        <v>0</v>
      </c>
      <c r="S53" t="b">
        <v>0</v>
      </c>
      <c r="T53" t="b">
        <v>0</v>
      </c>
      <c r="U53" t="b">
        <v>0</v>
      </c>
      <c r="V53" t="b">
        <v>0</v>
      </c>
      <c r="W53" t="b">
        <v>1</v>
      </c>
    </row>
    <row r="54" spans="1:23" ht="14.25" hidden="1" x14ac:dyDescent="0.45">
      <c r="A54">
        <v>43</v>
      </c>
      <c r="B54" t="s">
        <v>140</v>
      </c>
      <c r="C54" t="s">
        <v>25</v>
      </c>
      <c r="D54" t="s">
        <v>134</v>
      </c>
      <c r="E54" t="s">
        <v>58</v>
      </c>
      <c r="F54" s="2" t="s">
        <v>135</v>
      </c>
      <c r="I54" t="s">
        <v>40</v>
      </c>
      <c r="J54" s="2" t="s">
        <v>141</v>
      </c>
      <c r="K54" s="2" t="s">
        <v>139</v>
      </c>
      <c r="L54" s="2" t="s">
        <v>139</v>
      </c>
      <c r="M54" s="1">
        <v>0.2</v>
      </c>
      <c r="O54" t="str">
        <f>_xlfn.CONCAT("https://raw.githubusercontent.com/LaryBird12/geo-images/main/images/",Table_Master_Inventory[[#This Row],[Master Record ID]],".jpg")</f>
        <v>https://raw.githubusercontent.com/LaryBird12/geo-images/main/images/43.jpg</v>
      </c>
      <c r="P54" s="3"/>
      <c r="Q54" t="b">
        <v>1</v>
      </c>
      <c r="R54" t="b">
        <v>0</v>
      </c>
      <c r="S54" t="b">
        <v>0</v>
      </c>
      <c r="T54" t="b">
        <v>0</v>
      </c>
      <c r="U54" t="b">
        <v>0</v>
      </c>
      <c r="V54" t="b">
        <v>0</v>
      </c>
      <c r="W54" t="b">
        <v>1</v>
      </c>
    </row>
    <row r="55" spans="1:23" ht="14.25" hidden="1" x14ac:dyDescent="0.45">
      <c r="A55">
        <v>44</v>
      </c>
      <c r="B55" t="s">
        <v>142</v>
      </c>
      <c r="C55" t="s">
        <v>25</v>
      </c>
      <c r="D55" t="s">
        <v>134</v>
      </c>
      <c r="E55" t="s">
        <v>58</v>
      </c>
      <c r="F55" s="2" t="s">
        <v>68</v>
      </c>
      <c r="I55" t="s">
        <v>40</v>
      </c>
      <c r="J55" s="2" t="s">
        <v>143</v>
      </c>
      <c r="K55" s="2">
        <v>4</v>
      </c>
      <c r="L55" s="2">
        <v>4</v>
      </c>
      <c r="M55" s="1">
        <v>1.1599999999999999</v>
      </c>
      <c r="O55" t="str">
        <f>_xlfn.CONCAT("https://raw.githubusercontent.com/LaryBird12/geo-images/main/images/",Table_Master_Inventory[[#This Row],[Master Record ID]],".jpg")</f>
        <v>https://raw.githubusercontent.com/LaryBird12/geo-images/main/images/44.jpg</v>
      </c>
      <c r="P55" s="3"/>
      <c r="Q55" t="b">
        <v>1</v>
      </c>
      <c r="R55" t="b">
        <v>0</v>
      </c>
      <c r="S55" t="b">
        <v>0</v>
      </c>
      <c r="T55" t="b">
        <v>0</v>
      </c>
      <c r="U55" t="b">
        <v>0</v>
      </c>
      <c r="V55" t="b">
        <v>0</v>
      </c>
      <c r="W55" t="b">
        <v>1</v>
      </c>
    </row>
    <row r="56" spans="1:23" ht="14.25" hidden="1" x14ac:dyDescent="0.45">
      <c r="A56">
        <v>45</v>
      </c>
      <c r="B56" t="s">
        <v>144</v>
      </c>
      <c r="C56" t="s">
        <v>25</v>
      </c>
      <c r="D56" t="s">
        <v>134</v>
      </c>
      <c r="E56" t="s">
        <v>145</v>
      </c>
      <c r="F56" s="2" t="s">
        <v>68</v>
      </c>
      <c r="I56" t="s">
        <v>40</v>
      </c>
      <c r="J56" s="2" t="s">
        <v>146</v>
      </c>
      <c r="K56" s="2" t="s">
        <v>147</v>
      </c>
      <c r="L56" s="2" t="s">
        <v>147</v>
      </c>
      <c r="M56" s="1">
        <v>0.28999999999999998</v>
      </c>
      <c r="O56" t="str">
        <f>_xlfn.CONCAT("https://raw.githubusercontent.com/LaryBird12/geo-images/main/images/",Table_Master_Inventory[[#This Row],[Master Record ID]],".jpg")</f>
        <v>https://raw.githubusercontent.com/LaryBird12/geo-images/main/images/45.jpg</v>
      </c>
      <c r="P56" s="3"/>
      <c r="Q56" t="b">
        <v>1</v>
      </c>
      <c r="R56" t="b">
        <v>0</v>
      </c>
      <c r="S56" t="b">
        <v>0</v>
      </c>
      <c r="T56" t="b">
        <v>0</v>
      </c>
      <c r="U56" t="b">
        <v>0</v>
      </c>
      <c r="V56" t="b">
        <v>0</v>
      </c>
      <c r="W56" t="b">
        <v>1</v>
      </c>
    </row>
    <row r="57" spans="1:23" ht="14.25" hidden="1" x14ac:dyDescent="0.45">
      <c r="A57">
        <v>46</v>
      </c>
      <c r="B57" t="s">
        <v>148</v>
      </c>
      <c r="C57" t="s">
        <v>25</v>
      </c>
      <c r="D57" t="s">
        <v>134</v>
      </c>
      <c r="E57" t="s">
        <v>145</v>
      </c>
      <c r="F57" s="2" t="s">
        <v>68</v>
      </c>
      <c r="I57" t="s">
        <v>40</v>
      </c>
      <c r="J57" s="2" t="s">
        <v>149</v>
      </c>
      <c r="K57" s="2" t="s">
        <v>139</v>
      </c>
      <c r="L57" s="2" t="s">
        <v>139</v>
      </c>
      <c r="M57" s="1">
        <v>0.28000000000000003</v>
      </c>
      <c r="O57" t="str">
        <f>_xlfn.CONCAT("https://raw.githubusercontent.com/LaryBird12/geo-images/main/images/",Table_Master_Inventory[[#This Row],[Master Record ID]],".jpg")</f>
        <v>https://raw.githubusercontent.com/LaryBird12/geo-images/main/images/46.jpg</v>
      </c>
      <c r="P57" s="3"/>
      <c r="Q57" t="b">
        <v>1</v>
      </c>
      <c r="R57" t="b">
        <v>0</v>
      </c>
      <c r="S57" t="b">
        <v>0</v>
      </c>
      <c r="T57" t="b">
        <v>0</v>
      </c>
      <c r="U57" t="b">
        <v>0</v>
      </c>
      <c r="V57" t="b">
        <v>0</v>
      </c>
      <c r="W57" t="b">
        <v>1</v>
      </c>
    </row>
    <row r="58" spans="1:23" ht="14.25" hidden="1" x14ac:dyDescent="0.45">
      <c r="A58">
        <v>47</v>
      </c>
      <c r="B58" t="s">
        <v>150</v>
      </c>
      <c r="C58" t="s">
        <v>25</v>
      </c>
      <c r="D58" t="s">
        <v>134</v>
      </c>
      <c r="E58" t="s">
        <v>58</v>
      </c>
      <c r="F58" s="2" t="s">
        <v>151</v>
      </c>
      <c r="I58" t="s">
        <v>40</v>
      </c>
      <c r="J58" s="2" t="s">
        <v>152</v>
      </c>
      <c r="K58" s="2">
        <v>3</v>
      </c>
      <c r="L58" s="2">
        <v>3</v>
      </c>
      <c r="M58" s="1">
        <v>1.44</v>
      </c>
      <c r="O58" t="str">
        <f>_xlfn.CONCAT("https://raw.githubusercontent.com/LaryBird12/geo-images/main/images/",Table_Master_Inventory[[#This Row],[Master Record ID]],".jpg")</f>
        <v>https://raw.githubusercontent.com/LaryBird12/geo-images/main/images/47.jpg</v>
      </c>
      <c r="P58" s="3"/>
      <c r="Q58" t="b">
        <v>1</v>
      </c>
      <c r="R58" t="b">
        <v>0</v>
      </c>
      <c r="S58" t="b">
        <v>0</v>
      </c>
      <c r="T58" t="b">
        <v>0</v>
      </c>
      <c r="U58" t="b">
        <v>0</v>
      </c>
      <c r="V58" t="b">
        <v>0</v>
      </c>
      <c r="W58" t="b">
        <v>1</v>
      </c>
    </row>
    <row r="59" spans="1:23" ht="14.25" hidden="1" x14ac:dyDescent="0.45">
      <c r="A59">
        <v>48</v>
      </c>
      <c r="B59" t="s">
        <v>153</v>
      </c>
      <c r="C59" t="s">
        <v>25</v>
      </c>
      <c r="D59" t="s">
        <v>134</v>
      </c>
      <c r="E59" t="s">
        <v>58</v>
      </c>
      <c r="F59" s="2" t="s">
        <v>78</v>
      </c>
      <c r="I59" t="s">
        <v>40</v>
      </c>
      <c r="J59" s="2" t="s">
        <v>154</v>
      </c>
      <c r="K59" s="2">
        <v>3</v>
      </c>
      <c r="L59" s="2">
        <v>3</v>
      </c>
      <c r="M59" s="1">
        <v>1.73</v>
      </c>
      <c r="O59" t="str">
        <f>_xlfn.CONCAT("https://raw.githubusercontent.com/LaryBird12/geo-images/main/images/",Table_Master_Inventory[[#This Row],[Master Record ID]],".jpg")</f>
        <v>https://raw.githubusercontent.com/LaryBird12/geo-images/main/images/48.jpg</v>
      </c>
      <c r="P59" s="3"/>
      <c r="Q59" t="b">
        <v>1</v>
      </c>
      <c r="R59" t="b">
        <v>0</v>
      </c>
      <c r="S59" t="b">
        <v>0</v>
      </c>
      <c r="T59" t="b">
        <v>0</v>
      </c>
      <c r="U59" t="b">
        <v>0</v>
      </c>
      <c r="V59" t="b">
        <v>0</v>
      </c>
      <c r="W59" t="b">
        <v>1</v>
      </c>
    </row>
    <row r="60" spans="1:23" ht="14.25" hidden="1" x14ac:dyDescent="0.45">
      <c r="A60">
        <v>49</v>
      </c>
      <c r="B60" t="s">
        <v>155</v>
      </c>
      <c r="C60" t="s">
        <v>25</v>
      </c>
      <c r="D60" t="s">
        <v>134</v>
      </c>
      <c r="E60" t="s">
        <v>145</v>
      </c>
      <c r="F60" s="2" t="s">
        <v>78</v>
      </c>
      <c r="I60" t="s">
        <v>40</v>
      </c>
      <c r="J60" s="2" t="s">
        <v>156</v>
      </c>
      <c r="K60" s="2" t="s">
        <v>147</v>
      </c>
      <c r="L60" s="2" t="s">
        <v>139</v>
      </c>
      <c r="M60" s="1">
        <v>0.38</v>
      </c>
      <c r="O60" t="str">
        <f>_xlfn.CONCAT("https://raw.githubusercontent.com/LaryBird12/geo-images/main/images/",Table_Master_Inventory[[#This Row],[Master Record ID]],".jpg")</f>
        <v>https://raw.githubusercontent.com/LaryBird12/geo-images/main/images/49.jpg</v>
      </c>
      <c r="P60" s="3"/>
      <c r="Q60" t="b">
        <v>1</v>
      </c>
      <c r="R60" t="b">
        <v>0</v>
      </c>
      <c r="S60" t="b">
        <v>0</v>
      </c>
      <c r="T60" t="b">
        <v>0</v>
      </c>
      <c r="U60" t="b">
        <v>0</v>
      </c>
      <c r="V60" t="b">
        <v>0</v>
      </c>
      <c r="W60" t="b">
        <v>1</v>
      </c>
    </row>
    <row r="61" spans="1:23" ht="14.25" hidden="1" x14ac:dyDescent="0.45">
      <c r="A61">
        <v>50</v>
      </c>
      <c r="B61" t="s">
        <v>157</v>
      </c>
      <c r="C61" t="s">
        <v>25</v>
      </c>
      <c r="D61" t="s">
        <v>134</v>
      </c>
      <c r="E61" t="s">
        <v>145</v>
      </c>
      <c r="F61" s="2" t="s">
        <v>78</v>
      </c>
      <c r="I61" t="s">
        <v>40</v>
      </c>
      <c r="J61" s="2" t="s">
        <v>158</v>
      </c>
      <c r="K61" s="2" t="s">
        <v>139</v>
      </c>
      <c r="L61" s="2" t="s">
        <v>139</v>
      </c>
      <c r="M61" s="1">
        <v>0.62</v>
      </c>
      <c r="O61" t="str">
        <f>_xlfn.CONCAT("https://raw.githubusercontent.com/LaryBird12/geo-images/main/images/",Table_Master_Inventory[[#This Row],[Master Record ID]],".jpg")</f>
        <v>https://raw.githubusercontent.com/LaryBird12/geo-images/main/images/50.jpg</v>
      </c>
      <c r="P61" s="3"/>
      <c r="Q61" t="b">
        <v>1</v>
      </c>
      <c r="R61" t="b">
        <v>0</v>
      </c>
      <c r="S61" t="b">
        <v>0</v>
      </c>
      <c r="T61" t="b">
        <v>0</v>
      </c>
      <c r="U61" t="b">
        <v>0</v>
      </c>
      <c r="V61" t="b">
        <v>0</v>
      </c>
      <c r="W61" t="b">
        <v>1</v>
      </c>
    </row>
    <row r="62" spans="1:23" ht="14.25" hidden="1" x14ac:dyDescent="0.45">
      <c r="A62">
        <v>51</v>
      </c>
      <c r="B62" t="s">
        <v>159</v>
      </c>
      <c r="C62" t="s">
        <v>25</v>
      </c>
      <c r="D62" t="s">
        <v>134</v>
      </c>
      <c r="E62" t="s">
        <v>58</v>
      </c>
      <c r="F62" s="2" t="s">
        <v>160</v>
      </c>
      <c r="I62" t="s">
        <v>40</v>
      </c>
      <c r="J62" s="2" t="s">
        <v>161</v>
      </c>
      <c r="K62" s="2">
        <v>6</v>
      </c>
      <c r="L62" s="2">
        <v>6</v>
      </c>
      <c r="M62" s="1">
        <v>2.1800000000000002</v>
      </c>
      <c r="O62" t="str">
        <f>_xlfn.CONCAT("https://raw.githubusercontent.com/LaryBird12/geo-images/main/images/",Table_Master_Inventory[[#This Row],[Master Record ID]],".jpg")</f>
        <v>https://raw.githubusercontent.com/LaryBird12/geo-images/main/images/51.jpg</v>
      </c>
      <c r="P62" s="3"/>
      <c r="Q62" t="b">
        <v>1</v>
      </c>
      <c r="R62" t="b">
        <v>0</v>
      </c>
      <c r="S62" t="b">
        <v>0</v>
      </c>
      <c r="T62" t="b">
        <v>0</v>
      </c>
      <c r="U62" t="b">
        <v>0</v>
      </c>
      <c r="V62" t="b">
        <v>0</v>
      </c>
      <c r="W62" t="b">
        <v>1</v>
      </c>
    </row>
    <row r="63" spans="1:23" ht="14.25" hidden="1" x14ac:dyDescent="0.45">
      <c r="A63">
        <v>52</v>
      </c>
      <c r="B63" t="s">
        <v>162</v>
      </c>
      <c r="C63" t="s">
        <v>25</v>
      </c>
      <c r="D63" t="s">
        <v>134</v>
      </c>
      <c r="E63" t="s">
        <v>58</v>
      </c>
      <c r="F63" s="2" t="s">
        <v>135</v>
      </c>
      <c r="I63" t="s">
        <v>40</v>
      </c>
      <c r="J63" s="2" t="s">
        <v>163</v>
      </c>
      <c r="K63" s="2">
        <v>5</v>
      </c>
      <c r="L63" s="2">
        <v>10</v>
      </c>
      <c r="M63" s="1">
        <v>0.95</v>
      </c>
      <c r="O63" t="str">
        <f>_xlfn.CONCAT("https://raw.githubusercontent.com/LaryBird12/geo-images/main/images/",Table_Master_Inventory[[#This Row],[Master Record ID]],".jpg")</f>
        <v>https://raw.githubusercontent.com/LaryBird12/geo-images/main/images/52.jpg</v>
      </c>
      <c r="P63" s="3"/>
      <c r="Q63" t="b">
        <v>1</v>
      </c>
      <c r="R63" t="b">
        <v>0</v>
      </c>
      <c r="S63" t="b">
        <v>0</v>
      </c>
      <c r="T63" t="b">
        <v>0</v>
      </c>
      <c r="U63" t="b">
        <v>0</v>
      </c>
      <c r="V63" t="b">
        <v>0</v>
      </c>
      <c r="W63" t="b">
        <v>1</v>
      </c>
    </row>
    <row r="64" spans="1:23" ht="14.25" hidden="1" x14ac:dyDescent="0.45">
      <c r="A64">
        <v>53</v>
      </c>
      <c r="B64" t="s">
        <v>164</v>
      </c>
      <c r="C64" t="s">
        <v>25</v>
      </c>
      <c r="D64" t="s">
        <v>134</v>
      </c>
      <c r="E64" t="s">
        <v>58</v>
      </c>
      <c r="F64" s="2" t="s">
        <v>68</v>
      </c>
      <c r="I64" t="s">
        <v>40</v>
      </c>
      <c r="J64" s="2" t="s">
        <v>165</v>
      </c>
      <c r="K64" s="2">
        <v>40</v>
      </c>
      <c r="L64" s="2">
        <v>20</v>
      </c>
      <c r="M64" s="1">
        <v>1.72</v>
      </c>
      <c r="O64" t="str">
        <f>_xlfn.CONCAT("https://raw.githubusercontent.com/LaryBird12/geo-images/main/images/",Table_Master_Inventory[[#This Row],[Master Record ID]],".jpg")</f>
        <v>https://raw.githubusercontent.com/LaryBird12/geo-images/main/images/53.jpg</v>
      </c>
      <c r="P64" s="3"/>
      <c r="Q64" t="b">
        <v>1</v>
      </c>
      <c r="R64" t="b">
        <v>0</v>
      </c>
      <c r="S64" t="b">
        <v>0</v>
      </c>
      <c r="T64" t="b">
        <v>0</v>
      </c>
      <c r="U64" t="b">
        <v>0</v>
      </c>
      <c r="V64" t="b">
        <v>0</v>
      </c>
      <c r="W64" t="b">
        <v>1</v>
      </c>
    </row>
    <row r="65" spans="1:23" ht="14.25" hidden="1" x14ac:dyDescent="0.45">
      <c r="A65">
        <v>54</v>
      </c>
      <c r="B65" t="s">
        <v>166</v>
      </c>
      <c r="C65" t="s">
        <v>25</v>
      </c>
      <c r="D65" t="s">
        <v>134</v>
      </c>
      <c r="E65" t="s">
        <v>58</v>
      </c>
      <c r="F65" s="2" t="s">
        <v>68</v>
      </c>
      <c r="I65" t="s">
        <v>40</v>
      </c>
      <c r="J65" s="2" t="s">
        <v>167</v>
      </c>
      <c r="K65" s="2">
        <v>20</v>
      </c>
      <c r="L65" s="2">
        <v>10</v>
      </c>
      <c r="M65" s="1">
        <v>1.58</v>
      </c>
      <c r="O65" t="str">
        <f>_xlfn.CONCAT("https://raw.githubusercontent.com/LaryBird12/geo-images/main/images/",Table_Master_Inventory[[#This Row],[Master Record ID]],".jpg")</f>
        <v>https://raw.githubusercontent.com/LaryBird12/geo-images/main/images/54.jpg</v>
      </c>
      <c r="P65" s="3"/>
      <c r="Q65" t="b">
        <v>1</v>
      </c>
      <c r="R65" t="b">
        <v>0</v>
      </c>
      <c r="S65" t="b">
        <v>0</v>
      </c>
      <c r="T65" t="b">
        <v>0</v>
      </c>
      <c r="U65" t="b">
        <v>0</v>
      </c>
      <c r="V65" t="b">
        <v>0</v>
      </c>
      <c r="W65" t="b">
        <v>1</v>
      </c>
    </row>
    <row r="66" spans="1:23" ht="14.25" hidden="1" x14ac:dyDescent="0.45">
      <c r="A66">
        <v>55</v>
      </c>
      <c r="B66" t="s">
        <v>168</v>
      </c>
      <c r="C66" t="s">
        <v>25</v>
      </c>
      <c r="D66" t="s">
        <v>134</v>
      </c>
      <c r="E66" t="s">
        <v>58</v>
      </c>
      <c r="F66" s="2" t="s">
        <v>68</v>
      </c>
      <c r="I66" t="s">
        <v>40</v>
      </c>
      <c r="J66" s="2" t="s">
        <v>169</v>
      </c>
      <c r="K66" s="2">
        <v>20</v>
      </c>
      <c r="L66" s="2">
        <v>10</v>
      </c>
      <c r="M66" s="1">
        <v>3.08</v>
      </c>
      <c r="O66" t="str">
        <f>_xlfn.CONCAT("https://raw.githubusercontent.com/LaryBird12/geo-images/main/images/",Table_Master_Inventory[[#This Row],[Master Record ID]],".jpg")</f>
        <v>https://raw.githubusercontent.com/LaryBird12/geo-images/main/images/55.jpg</v>
      </c>
      <c r="P66" s="3"/>
      <c r="Q66" t="b">
        <v>1</v>
      </c>
      <c r="R66" t="b">
        <v>0</v>
      </c>
      <c r="S66" t="b">
        <v>0</v>
      </c>
      <c r="T66" t="b">
        <v>0</v>
      </c>
      <c r="U66" t="b">
        <v>0</v>
      </c>
      <c r="V66" t="b">
        <v>0</v>
      </c>
      <c r="W66" t="b">
        <v>1</v>
      </c>
    </row>
    <row r="67" spans="1:23" ht="14.25" hidden="1" x14ac:dyDescent="0.45">
      <c r="A67">
        <v>56</v>
      </c>
      <c r="B67" t="s">
        <v>170</v>
      </c>
      <c r="C67" t="s">
        <v>25</v>
      </c>
      <c r="D67" t="s">
        <v>134</v>
      </c>
      <c r="E67" t="s">
        <v>58</v>
      </c>
      <c r="F67" s="2" t="s">
        <v>68</v>
      </c>
      <c r="I67" t="s">
        <v>40</v>
      </c>
      <c r="J67" s="2" t="s">
        <v>171</v>
      </c>
      <c r="K67" s="2">
        <v>10</v>
      </c>
      <c r="L67" s="2">
        <v>10</v>
      </c>
      <c r="M67" s="1">
        <v>9.8800000000000008</v>
      </c>
      <c r="O67" t="str">
        <f>_xlfn.CONCAT("https://raw.githubusercontent.com/LaryBird12/geo-images/main/images/",Table_Master_Inventory[[#This Row],[Master Record ID]],".jpg")</f>
        <v>https://raw.githubusercontent.com/LaryBird12/geo-images/main/images/56.jpg</v>
      </c>
      <c r="P67" s="3"/>
      <c r="Q67" t="b">
        <v>1</v>
      </c>
      <c r="R67" t="b">
        <v>0</v>
      </c>
      <c r="S67" t="b">
        <v>0</v>
      </c>
      <c r="T67" t="b">
        <v>0</v>
      </c>
      <c r="U67" t="b">
        <v>0</v>
      </c>
      <c r="V67" t="b">
        <v>0</v>
      </c>
      <c r="W67" t="b">
        <v>1</v>
      </c>
    </row>
    <row r="68" spans="1:23" ht="14.25" hidden="1" x14ac:dyDescent="0.45">
      <c r="A68">
        <v>57</v>
      </c>
      <c r="B68" t="s">
        <v>172</v>
      </c>
      <c r="C68" t="s">
        <v>25</v>
      </c>
      <c r="D68" t="s">
        <v>134</v>
      </c>
      <c r="E68" t="s">
        <v>58</v>
      </c>
      <c r="F68" s="2" t="s">
        <v>68</v>
      </c>
      <c r="I68" t="s">
        <v>40</v>
      </c>
      <c r="J68" s="2" t="s">
        <v>173</v>
      </c>
      <c r="K68" s="2">
        <v>6</v>
      </c>
      <c r="L68" s="2">
        <v>4</v>
      </c>
      <c r="M68" s="1">
        <v>10.02</v>
      </c>
      <c r="O68" t="str">
        <f>_xlfn.CONCAT("https://raw.githubusercontent.com/LaryBird12/geo-images/main/images/",Table_Master_Inventory[[#This Row],[Master Record ID]],".jpg")</f>
        <v>https://raw.githubusercontent.com/LaryBird12/geo-images/main/images/57.jpg</v>
      </c>
      <c r="P68" s="3"/>
      <c r="Q68" t="b">
        <v>1</v>
      </c>
      <c r="R68" t="b">
        <v>0</v>
      </c>
      <c r="S68" t="b">
        <v>0</v>
      </c>
      <c r="T68" t="b">
        <v>0</v>
      </c>
      <c r="U68" t="b">
        <v>0</v>
      </c>
      <c r="V68" t="b">
        <v>0</v>
      </c>
      <c r="W68" t="b">
        <v>1</v>
      </c>
    </row>
    <row r="69" spans="1:23" ht="14.25" hidden="1" x14ac:dyDescent="0.45">
      <c r="A69">
        <v>58</v>
      </c>
      <c r="B69" t="s">
        <v>174</v>
      </c>
      <c r="C69" t="s">
        <v>25</v>
      </c>
      <c r="D69" t="s">
        <v>134</v>
      </c>
      <c r="E69" t="s">
        <v>58</v>
      </c>
      <c r="F69" s="2" t="s">
        <v>68</v>
      </c>
      <c r="I69" t="s">
        <v>40</v>
      </c>
      <c r="J69" s="2" t="s">
        <v>175</v>
      </c>
      <c r="K69" s="2">
        <v>4</v>
      </c>
      <c r="L69" s="2">
        <v>4</v>
      </c>
      <c r="M69" s="1">
        <v>3</v>
      </c>
      <c r="O69" t="str">
        <f>_xlfn.CONCAT("https://raw.githubusercontent.com/LaryBird12/geo-images/main/images/",Table_Master_Inventory[[#This Row],[Master Record ID]],".jpg")</f>
        <v>https://raw.githubusercontent.com/LaryBird12/geo-images/main/images/58.jpg</v>
      </c>
      <c r="P69" s="3"/>
      <c r="Q69" t="b">
        <v>1</v>
      </c>
      <c r="R69" t="b">
        <v>0</v>
      </c>
      <c r="S69" t="b">
        <v>0</v>
      </c>
      <c r="T69" t="b">
        <v>0</v>
      </c>
      <c r="U69" t="b">
        <v>0</v>
      </c>
      <c r="V69" t="b">
        <v>0</v>
      </c>
      <c r="W69" t="b">
        <v>1</v>
      </c>
    </row>
    <row r="70" spans="1:23" ht="14.25" hidden="1" x14ac:dyDescent="0.45">
      <c r="A70">
        <v>59</v>
      </c>
      <c r="B70" t="s">
        <v>176</v>
      </c>
      <c r="C70" t="s">
        <v>25</v>
      </c>
      <c r="D70" t="s">
        <v>134</v>
      </c>
      <c r="E70" t="s">
        <v>58</v>
      </c>
      <c r="F70" s="2" t="s">
        <v>68</v>
      </c>
      <c r="I70" t="s">
        <v>40</v>
      </c>
      <c r="J70" s="2" t="s">
        <v>177</v>
      </c>
      <c r="K70" s="2">
        <v>12</v>
      </c>
      <c r="L70" s="2">
        <v>12</v>
      </c>
      <c r="M70" s="1">
        <v>3.54</v>
      </c>
      <c r="O70" t="str">
        <f>_xlfn.CONCAT("https://raw.githubusercontent.com/LaryBird12/geo-images/main/images/",Table_Master_Inventory[[#This Row],[Master Record ID]],".jpg")</f>
        <v>https://raw.githubusercontent.com/LaryBird12/geo-images/main/images/59.jpg</v>
      </c>
      <c r="P70" s="3"/>
      <c r="Q70" t="b">
        <v>1</v>
      </c>
      <c r="R70" t="b">
        <v>0</v>
      </c>
      <c r="S70" t="b">
        <v>0</v>
      </c>
      <c r="T70" t="b">
        <v>0</v>
      </c>
      <c r="U70" t="b">
        <v>0</v>
      </c>
      <c r="V70" t="b">
        <v>0</v>
      </c>
      <c r="W70" t="b">
        <v>1</v>
      </c>
    </row>
    <row r="71" spans="1:23" ht="14.25" hidden="1" x14ac:dyDescent="0.45">
      <c r="A71">
        <v>60</v>
      </c>
      <c r="B71" t="s">
        <v>178</v>
      </c>
      <c r="C71" t="s">
        <v>25</v>
      </c>
      <c r="D71" t="s">
        <v>134</v>
      </c>
      <c r="E71" t="s">
        <v>58</v>
      </c>
      <c r="F71" s="2" t="s">
        <v>78</v>
      </c>
      <c r="I71" t="s">
        <v>40</v>
      </c>
      <c r="J71" s="2" t="s">
        <v>179</v>
      </c>
      <c r="K71" s="2">
        <v>10</v>
      </c>
      <c r="L71" s="2">
        <v>10</v>
      </c>
      <c r="M71" s="1">
        <v>4.6900000000000004</v>
      </c>
      <c r="O71" t="str">
        <f>_xlfn.CONCAT("https://raw.githubusercontent.com/LaryBird12/geo-images/main/images/",Table_Master_Inventory[[#This Row],[Master Record ID]],".jpg")</f>
        <v>https://raw.githubusercontent.com/LaryBird12/geo-images/main/images/60.jpg</v>
      </c>
      <c r="P71" s="3"/>
      <c r="Q71" t="b">
        <v>1</v>
      </c>
      <c r="R71" t="b">
        <v>0</v>
      </c>
      <c r="S71" t="b">
        <v>0</v>
      </c>
      <c r="T71" t="b">
        <v>0</v>
      </c>
      <c r="U71" t="b">
        <v>0</v>
      </c>
      <c r="V71" t="b">
        <v>0</v>
      </c>
      <c r="W71" t="b">
        <v>1</v>
      </c>
    </row>
    <row r="72" spans="1:23" ht="14.25" hidden="1" x14ac:dyDescent="0.45">
      <c r="A72">
        <v>61</v>
      </c>
      <c r="B72" t="s">
        <v>180</v>
      </c>
      <c r="C72" t="s">
        <v>25</v>
      </c>
      <c r="D72" t="s">
        <v>134</v>
      </c>
      <c r="E72" t="s">
        <v>58</v>
      </c>
      <c r="F72" s="2" t="s">
        <v>78</v>
      </c>
      <c r="I72" t="s">
        <v>40</v>
      </c>
      <c r="J72" s="2" t="s">
        <v>181</v>
      </c>
      <c r="K72" s="2">
        <v>10</v>
      </c>
      <c r="L72" s="2">
        <v>10</v>
      </c>
      <c r="M72" s="1">
        <v>2.4500000000000002</v>
      </c>
      <c r="O72" t="str">
        <f>_xlfn.CONCAT("https://raw.githubusercontent.com/LaryBird12/geo-images/main/images/",Table_Master_Inventory[[#This Row],[Master Record ID]],".jpg")</f>
        <v>https://raw.githubusercontent.com/LaryBird12/geo-images/main/images/61.jpg</v>
      </c>
      <c r="P72" s="3"/>
      <c r="Q72" t="b">
        <v>1</v>
      </c>
      <c r="R72" t="b">
        <v>0</v>
      </c>
      <c r="S72" t="b">
        <v>0</v>
      </c>
      <c r="T72" t="b">
        <v>0</v>
      </c>
      <c r="U72" t="b">
        <v>0</v>
      </c>
      <c r="V72" t="b">
        <v>0</v>
      </c>
      <c r="W72" t="b">
        <v>1</v>
      </c>
    </row>
    <row r="73" spans="1:23" ht="14.25" hidden="1" x14ac:dyDescent="0.45">
      <c r="A73">
        <v>62</v>
      </c>
      <c r="B73" t="s">
        <v>182</v>
      </c>
      <c r="C73" t="s">
        <v>25</v>
      </c>
      <c r="D73" t="s">
        <v>183</v>
      </c>
      <c r="E73" t="s">
        <v>58</v>
      </c>
      <c r="F73" s="2" t="s">
        <v>135</v>
      </c>
      <c r="I73" t="s">
        <v>40</v>
      </c>
      <c r="J73" s="2" t="s">
        <v>184</v>
      </c>
      <c r="K73" s="2">
        <v>30</v>
      </c>
      <c r="L73" s="2">
        <v>10</v>
      </c>
      <c r="M73" s="1">
        <v>2.0099999999999998</v>
      </c>
      <c r="O73" t="str">
        <f>_xlfn.CONCAT("https://raw.githubusercontent.com/LaryBird12/geo-images/main/images/",Table_Master_Inventory[[#This Row],[Master Record ID]],".jpg")</f>
        <v>https://raw.githubusercontent.com/LaryBird12/geo-images/main/images/62.jpg</v>
      </c>
      <c r="P73" s="3"/>
      <c r="Q73" t="b">
        <v>1</v>
      </c>
      <c r="R73" t="b">
        <v>0</v>
      </c>
      <c r="S73" t="b">
        <v>0</v>
      </c>
      <c r="T73" t="b">
        <v>0</v>
      </c>
      <c r="U73" t="b">
        <v>0</v>
      </c>
      <c r="V73" t="b">
        <v>0</v>
      </c>
      <c r="W73" t="b">
        <v>1</v>
      </c>
    </row>
    <row r="74" spans="1:23" ht="14.25" hidden="1" x14ac:dyDescent="0.45">
      <c r="A74">
        <v>63</v>
      </c>
      <c r="B74" t="s">
        <v>185</v>
      </c>
      <c r="C74" t="s">
        <v>25</v>
      </c>
      <c r="D74" t="s">
        <v>183</v>
      </c>
      <c r="E74" t="s">
        <v>58</v>
      </c>
      <c r="F74" s="2" t="s">
        <v>135</v>
      </c>
      <c r="I74" t="s">
        <v>40</v>
      </c>
      <c r="J74" s="2" t="s">
        <v>186</v>
      </c>
      <c r="K74" s="2">
        <v>10</v>
      </c>
      <c r="L74" s="2">
        <v>4</v>
      </c>
      <c r="M74" s="1">
        <v>2.2999999999999998</v>
      </c>
      <c r="O74" t="str">
        <f>_xlfn.CONCAT("https://raw.githubusercontent.com/LaryBird12/geo-images/main/images/",Table_Master_Inventory[[#This Row],[Master Record ID]],".jpg")</f>
        <v>https://raw.githubusercontent.com/LaryBird12/geo-images/main/images/63.jpg</v>
      </c>
      <c r="P74" s="3"/>
      <c r="Q74" t="b">
        <v>1</v>
      </c>
      <c r="R74" t="b">
        <v>0</v>
      </c>
      <c r="S74" t="b">
        <v>0</v>
      </c>
      <c r="T74" t="b">
        <v>0</v>
      </c>
      <c r="U74" t="b">
        <v>0</v>
      </c>
      <c r="V74" t="b">
        <v>0</v>
      </c>
      <c r="W74" t="b">
        <v>1</v>
      </c>
    </row>
    <row r="75" spans="1:23" ht="14.25" hidden="1" x14ac:dyDescent="0.45">
      <c r="A75">
        <v>64</v>
      </c>
      <c r="B75" t="s">
        <v>187</v>
      </c>
      <c r="C75" t="s">
        <v>25</v>
      </c>
      <c r="D75" t="s">
        <v>183</v>
      </c>
      <c r="E75" t="s">
        <v>58</v>
      </c>
      <c r="F75" s="2" t="s">
        <v>135</v>
      </c>
      <c r="I75" t="s">
        <v>40</v>
      </c>
      <c r="J75" s="2">
        <v>50170</v>
      </c>
      <c r="K75" s="2">
        <v>10</v>
      </c>
      <c r="L75" s="2">
        <v>4</v>
      </c>
      <c r="M75" s="1">
        <v>1.94</v>
      </c>
      <c r="O75" t="str">
        <f>_xlfn.CONCAT("https://raw.githubusercontent.com/LaryBird12/geo-images/main/images/",Table_Master_Inventory[[#This Row],[Master Record ID]],".jpg")</f>
        <v>https://raw.githubusercontent.com/LaryBird12/geo-images/main/images/64.jpg</v>
      </c>
      <c r="P75" s="3"/>
      <c r="Q75" t="b">
        <v>1</v>
      </c>
      <c r="R75" t="b">
        <v>0</v>
      </c>
      <c r="S75" t="b">
        <v>0</v>
      </c>
      <c r="T75" t="b">
        <v>0</v>
      </c>
      <c r="U75" t="b">
        <v>0</v>
      </c>
      <c r="V75" t="b">
        <v>0</v>
      </c>
      <c r="W75" t="b">
        <v>1</v>
      </c>
    </row>
    <row r="76" spans="1:23" ht="14.25" hidden="1" x14ac:dyDescent="0.45">
      <c r="A76">
        <v>65</v>
      </c>
      <c r="B76" t="s">
        <v>188</v>
      </c>
      <c r="C76" t="s">
        <v>25</v>
      </c>
      <c r="D76" t="s">
        <v>183</v>
      </c>
      <c r="E76" t="s">
        <v>58</v>
      </c>
      <c r="F76" s="2" t="s">
        <v>135</v>
      </c>
      <c r="I76" t="s">
        <v>40</v>
      </c>
      <c r="J76" s="2">
        <v>50024</v>
      </c>
      <c r="K76" s="2">
        <v>4</v>
      </c>
      <c r="L76" s="2">
        <v>4</v>
      </c>
      <c r="M76" s="1">
        <v>5.89</v>
      </c>
      <c r="O76" t="str">
        <f>_xlfn.CONCAT("https://raw.githubusercontent.com/LaryBird12/geo-images/main/images/",Table_Master_Inventory[[#This Row],[Master Record ID]],".jpg")</f>
        <v>https://raw.githubusercontent.com/LaryBird12/geo-images/main/images/65.jpg</v>
      </c>
      <c r="P76" s="3"/>
      <c r="Q76" t="b">
        <v>1</v>
      </c>
      <c r="R76" t="b">
        <v>0</v>
      </c>
      <c r="S76" t="b">
        <v>0</v>
      </c>
      <c r="T76" t="b">
        <v>0</v>
      </c>
      <c r="U76" t="b">
        <v>0</v>
      </c>
      <c r="V76" t="b">
        <v>0</v>
      </c>
      <c r="W76" t="b">
        <v>1</v>
      </c>
    </row>
    <row r="77" spans="1:23" ht="14.25" hidden="1" x14ac:dyDescent="0.45">
      <c r="A77">
        <v>66</v>
      </c>
      <c r="B77" t="s">
        <v>189</v>
      </c>
      <c r="C77" t="s">
        <v>25</v>
      </c>
      <c r="D77" t="s">
        <v>183</v>
      </c>
      <c r="E77" t="s">
        <v>58</v>
      </c>
      <c r="F77" s="2" t="s">
        <v>135</v>
      </c>
      <c r="I77" t="s">
        <v>40</v>
      </c>
      <c r="J77" s="2" t="s">
        <v>190</v>
      </c>
      <c r="K77" s="2">
        <v>10</v>
      </c>
      <c r="L77" s="2">
        <v>10</v>
      </c>
      <c r="M77" s="1">
        <v>10.029999999999999</v>
      </c>
      <c r="O77" t="str">
        <f>_xlfn.CONCAT("https://raw.githubusercontent.com/LaryBird12/geo-images/main/images/",Table_Master_Inventory[[#This Row],[Master Record ID]],".jpg")</f>
        <v>https://raw.githubusercontent.com/LaryBird12/geo-images/main/images/66.jpg</v>
      </c>
      <c r="P77" s="3"/>
      <c r="Q77" t="b">
        <v>1</v>
      </c>
      <c r="R77" t="b">
        <v>0</v>
      </c>
      <c r="S77" t="b">
        <v>0</v>
      </c>
      <c r="T77" t="b">
        <v>0</v>
      </c>
      <c r="U77" t="b">
        <v>0</v>
      </c>
      <c r="V77" t="b">
        <v>0</v>
      </c>
      <c r="W77" t="b">
        <v>1</v>
      </c>
    </row>
    <row r="78" spans="1:23" ht="14.25" hidden="1" x14ac:dyDescent="0.45">
      <c r="A78">
        <v>67</v>
      </c>
      <c r="B78" t="s">
        <v>191</v>
      </c>
      <c r="C78" t="s">
        <v>25</v>
      </c>
      <c r="D78" t="s">
        <v>192</v>
      </c>
      <c r="E78" t="s">
        <v>58</v>
      </c>
      <c r="F78" s="2" t="s">
        <v>135</v>
      </c>
      <c r="I78" t="s">
        <v>40</v>
      </c>
      <c r="J78" s="2" t="s">
        <v>193</v>
      </c>
      <c r="K78" s="2">
        <v>4</v>
      </c>
      <c r="L78" s="2">
        <v>2</v>
      </c>
      <c r="M78" s="1">
        <v>0.74</v>
      </c>
      <c r="O78" t="str">
        <f>_xlfn.CONCAT("https://raw.githubusercontent.com/LaryBird12/geo-images/main/images/",Table_Master_Inventory[[#This Row],[Master Record ID]],".jpg")</f>
        <v>https://raw.githubusercontent.com/LaryBird12/geo-images/main/images/67.jpg</v>
      </c>
      <c r="P78" s="3"/>
      <c r="Q78" t="b">
        <v>1</v>
      </c>
      <c r="R78" t="b">
        <v>0</v>
      </c>
      <c r="S78" t="b">
        <v>0</v>
      </c>
      <c r="T78" t="b">
        <v>0</v>
      </c>
      <c r="U78" t="b">
        <v>0</v>
      </c>
      <c r="V78" t="b">
        <v>0</v>
      </c>
      <c r="W78" t="b">
        <v>1</v>
      </c>
    </row>
    <row r="79" spans="1:23" ht="14.25" hidden="1" x14ac:dyDescent="0.45">
      <c r="A79">
        <v>68</v>
      </c>
      <c r="B79" t="s">
        <v>194</v>
      </c>
      <c r="C79" t="s">
        <v>25</v>
      </c>
      <c r="D79" t="s">
        <v>192</v>
      </c>
      <c r="E79" t="s">
        <v>58</v>
      </c>
      <c r="F79" s="2" t="s">
        <v>135</v>
      </c>
      <c r="I79" t="s">
        <v>40</v>
      </c>
      <c r="J79" s="2" t="s">
        <v>195</v>
      </c>
      <c r="K79" s="2">
        <v>4</v>
      </c>
      <c r="L79" s="2">
        <v>2</v>
      </c>
      <c r="M79" s="1">
        <v>0.86</v>
      </c>
      <c r="O79" t="str">
        <f>_xlfn.CONCAT("https://raw.githubusercontent.com/LaryBird12/geo-images/main/images/",Table_Master_Inventory[[#This Row],[Master Record ID]],".jpg")</f>
        <v>https://raw.githubusercontent.com/LaryBird12/geo-images/main/images/68.jpg</v>
      </c>
      <c r="P79" s="3"/>
      <c r="Q79" t="b">
        <v>1</v>
      </c>
      <c r="R79" t="b">
        <v>0</v>
      </c>
      <c r="S79" t="b">
        <v>0</v>
      </c>
      <c r="T79" t="b">
        <v>0</v>
      </c>
      <c r="U79" t="b">
        <v>0</v>
      </c>
      <c r="V79" t="b">
        <v>0</v>
      </c>
      <c r="W79" t="b">
        <v>1</v>
      </c>
    </row>
    <row r="80" spans="1:23" ht="14.25" hidden="1" x14ac:dyDescent="0.45">
      <c r="A80">
        <v>69</v>
      </c>
      <c r="B80" t="s">
        <v>196</v>
      </c>
      <c r="C80" t="s">
        <v>25</v>
      </c>
      <c r="D80" t="s">
        <v>192</v>
      </c>
      <c r="E80" t="s">
        <v>58</v>
      </c>
      <c r="F80" s="2" t="s">
        <v>68</v>
      </c>
      <c r="I80" t="s">
        <v>40</v>
      </c>
      <c r="J80" s="2" t="s">
        <v>197</v>
      </c>
      <c r="K80" s="2">
        <v>4</v>
      </c>
      <c r="L80" s="2">
        <v>2</v>
      </c>
      <c r="M80" s="1">
        <v>0.88</v>
      </c>
      <c r="O80" t="str">
        <f>_xlfn.CONCAT("https://raw.githubusercontent.com/LaryBird12/geo-images/main/images/",Table_Master_Inventory[[#This Row],[Master Record ID]],".jpg")</f>
        <v>https://raw.githubusercontent.com/LaryBird12/geo-images/main/images/69.jpg</v>
      </c>
      <c r="P80" s="3"/>
      <c r="Q80" t="b">
        <v>1</v>
      </c>
      <c r="R80" t="b">
        <v>0</v>
      </c>
      <c r="S80" t="b">
        <v>0</v>
      </c>
      <c r="T80" t="b">
        <v>0</v>
      </c>
      <c r="U80" t="b">
        <v>0</v>
      </c>
      <c r="V80" t="b">
        <v>0</v>
      </c>
      <c r="W80" t="b">
        <v>1</v>
      </c>
    </row>
    <row r="81" spans="1:23" ht="14.25" hidden="1" x14ac:dyDescent="0.45">
      <c r="A81">
        <v>70</v>
      </c>
      <c r="B81" t="s">
        <v>198</v>
      </c>
      <c r="C81" t="s">
        <v>25</v>
      </c>
      <c r="D81" t="s">
        <v>192</v>
      </c>
      <c r="E81" t="s">
        <v>58</v>
      </c>
      <c r="F81" s="2" t="s">
        <v>68</v>
      </c>
      <c r="I81" t="s">
        <v>40</v>
      </c>
      <c r="J81" s="2" t="s">
        <v>199</v>
      </c>
      <c r="K81" s="2">
        <v>4</v>
      </c>
      <c r="L81" s="2">
        <v>2</v>
      </c>
      <c r="M81" s="1">
        <v>1.55</v>
      </c>
      <c r="O81" t="str">
        <f>_xlfn.CONCAT("https://raw.githubusercontent.com/LaryBird12/geo-images/main/images/",Table_Master_Inventory[[#This Row],[Master Record ID]],".jpg")</f>
        <v>https://raw.githubusercontent.com/LaryBird12/geo-images/main/images/70.jpg</v>
      </c>
      <c r="P81" s="3"/>
      <c r="Q81" t="b">
        <v>1</v>
      </c>
      <c r="R81" t="b">
        <v>0</v>
      </c>
      <c r="S81" t="b">
        <v>0</v>
      </c>
      <c r="T81" t="b">
        <v>0</v>
      </c>
      <c r="U81" t="b">
        <v>0</v>
      </c>
      <c r="V81" t="b">
        <v>0</v>
      </c>
      <c r="W81" t="b">
        <v>1</v>
      </c>
    </row>
    <row r="82" spans="1:23" ht="14.25" hidden="1" x14ac:dyDescent="0.45">
      <c r="A82">
        <v>71</v>
      </c>
      <c r="B82" t="s">
        <v>200</v>
      </c>
      <c r="C82" t="s">
        <v>25</v>
      </c>
      <c r="D82" t="s">
        <v>201</v>
      </c>
      <c r="E82" t="s">
        <v>58</v>
      </c>
      <c r="F82" s="2" t="s">
        <v>124</v>
      </c>
      <c r="I82" t="s">
        <v>29</v>
      </c>
      <c r="J82" s="2">
        <v>536555</v>
      </c>
      <c r="K82" s="2">
        <v>3</v>
      </c>
      <c r="L82" s="2">
        <v>1</v>
      </c>
      <c r="M82" s="1">
        <v>1.79</v>
      </c>
      <c r="O82" t="str">
        <f>_xlfn.CONCAT("https://raw.githubusercontent.com/LaryBird12/geo-images/main/images/",Table_Master_Inventory[[#This Row],[Master Record ID]],".jpg")</f>
        <v>https://raw.githubusercontent.com/LaryBird12/geo-images/main/images/71.jpg</v>
      </c>
      <c r="P82" s="3"/>
      <c r="Q82" t="b">
        <v>1</v>
      </c>
      <c r="R82" t="b">
        <v>0</v>
      </c>
      <c r="S82" t="b">
        <v>0</v>
      </c>
      <c r="T82" t="b">
        <v>0</v>
      </c>
      <c r="U82" t="b">
        <v>0</v>
      </c>
      <c r="V82" t="b">
        <v>0</v>
      </c>
      <c r="W82" t="b">
        <v>1</v>
      </c>
    </row>
    <row r="83" spans="1:23" ht="14.25" hidden="1" x14ac:dyDescent="0.45">
      <c r="A83">
        <v>72</v>
      </c>
      <c r="B83" t="s">
        <v>202</v>
      </c>
      <c r="C83" t="s">
        <v>25</v>
      </c>
      <c r="D83" t="s">
        <v>201</v>
      </c>
      <c r="E83" t="s">
        <v>58</v>
      </c>
      <c r="F83" s="2" t="s">
        <v>135</v>
      </c>
      <c r="I83" t="s">
        <v>40</v>
      </c>
      <c r="J83" s="2" t="s">
        <v>203</v>
      </c>
      <c r="K83" s="2">
        <v>3</v>
      </c>
      <c r="L83" s="2">
        <v>3</v>
      </c>
      <c r="M83" s="1">
        <v>6.95</v>
      </c>
      <c r="O83" t="str">
        <f>_xlfn.CONCAT("https://raw.githubusercontent.com/LaryBird12/geo-images/main/images/",Table_Master_Inventory[[#This Row],[Master Record ID]],".jpg")</f>
        <v>https://raw.githubusercontent.com/LaryBird12/geo-images/main/images/72.jpg</v>
      </c>
      <c r="P83" s="3"/>
      <c r="Q83" t="b">
        <v>1</v>
      </c>
      <c r="R83" t="b">
        <v>0</v>
      </c>
      <c r="S83" t="b">
        <v>0</v>
      </c>
      <c r="T83" t="b">
        <v>0</v>
      </c>
      <c r="U83" t="b">
        <v>0</v>
      </c>
      <c r="V83" t="b">
        <v>0</v>
      </c>
      <c r="W83" t="b">
        <v>1</v>
      </c>
    </row>
    <row r="84" spans="1:23" ht="14.25" hidden="1" x14ac:dyDescent="0.45">
      <c r="A84">
        <v>73</v>
      </c>
      <c r="B84" t="s">
        <v>204</v>
      </c>
      <c r="C84" t="s">
        <v>25</v>
      </c>
      <c r="D84" t="s">
        <v>201</v>
      </c>
      <c r="E84" t="s">
        <v>58</v>
      </c>
      <c r="F84" s="2" t="s">
        <v>135</v>
      </c>
      <c r="I84" t="s">
        <v>40</v>
      </c>
      <c r="J84" s="2" t="s">
        <v>205</v>
      </c>
      <c r="K84" s="2">
        <v>3</v>
      </c>
      <c r="L84" s="2">
        <v>3</v>
      </c>
      <c r="M84" s="1">
        <v>1.99</v>
      </c>
      <c r="O84" t="str">
        <f>_xlfn.CONCAT("https://raw.githubusercontent.com/LaryBird12/geo-images/main/images/",Table_Master_Inventory[[#This Row],[Master Record ID]],".jpg")</f>
        <v>https://raw.githubusercontent.com/LaryBird12/geo-images/main/images/73.jpg</v>
      </c>
      <c r="P84" s="3"/>
      <c r="Q84" t="b">
        <v>1</v>
      </c>
      <c r="R84" t="b">
        <v>0</v>
      </c>
      <c r="S84" t="b">
        <v>0</v>
      </c>
      <c r="T84" t="b">
        <v>0</v>
      </c>
      <c r="U84" t="b">
        <v>0</v>
      </c>
      <c r="V84" t="b">
        <v>0</v>
      </c>
      <c r="W84" t="b">
        <v>1</v>
      </c>
    </row>
    <row r="85" spans="1:23" ht="14.25" hidden="1" x14ac:dyDescent="0.45">
      <c r="A85">
        <v>74</v>
      </c>
      <c r="B85" t="s">
        <v>206</v>
      </c>
      <c r="C85" t="s">
        <v>25</v>
      </c>
      <c r="D85" t="s">
        <v>201</v>
      </c>
      <c r="E85" t="s">
        <v>58</v>
      </c>
      <c r="F85" s="2" t="s">
        <v>151</v>
      </c>
      <c r="I85" t="s">
        <v>40</v>
      </c>
      <c r="J85" s="2" t="s">
        <v>207</v>
      </c>
      <c r="K85" s="2">
        <v>4</v>
      </c>
      <c r="L85" s="2">
        <v>4</v>
      </c>
      <c r="M85" s="1">
        <v>4.58</v>
      </c>
      <c r="O85" t="str">
        <f>_xlfn.CONCAT("https://raw.githubusercontent.com/LaryBird12/geo-images/main/images/",Table_Master_Inventory[[#This Row],[Master Record ID]],".jpg")</f>
        <v>https://raw.githubusercontent.com/LaryBird12/geo-images/main/images/74.jpg</v>
      </c>
      <c r="P85" s="3"/>
      <c r="Q85" t="b">
        <v>1</v>
      </c>
      <c r="R85" t="b">
        <v>0</v>
      </c>
      <c r="S85" t="b">
        <v>0</v>
      </c>
      <c r="T85" t="b">
        <v>0</v>
      </c>
      <c r="U85" t="b">
        <v>0</v>
      </c>
      <c r="V85" t="b">
        <v>0</v>
      </c>
      <c r="W85" t="b">
        <v>1</v>
      </c>
    </row>
    <row r="86" spans="1:23" ht="14.25" hidden="1" x14ac:dyDescent="0.45">
      <c r="A86">
        <v>75</v>
      </c>
      <c r="B86" t="s">
        <v>208</v>
      </c>
      <c r="C86" t="s">
        <v>25</v>
      </c>
      <c r="D86" t="s">
        <v>201</v>
      </c>
      <c r="E86" t="s">
        <v>58</v>
      </c>
      <c r="F86" s="2" t="s">
        <v>68</v>
      </c>
      <c r="I86" t="s">
        <v>40</v>
      </c>
      <c r="J86" s="2" t="s">
        <v>209</v>
      </c>
      <c r="K86" s="2">
        <v>4</v>
      </c>
      <c r="L86" s="2">
        <v>4</v>
      </c>
      <c r="M86" s="1">
        <v>7.55</v>
      </c>
      <c r="O86" t="str">
        <f>_xlfn.CONCAT("https://raw.githubusercontent.com/LaryBird12/geo-images/main/images/",Table_Master_Inventory[[#This Row],[Master Record ID]],".jpg")</f>
        <v>https://raw.githubusercontent.com/LaryBird12/geo-images/main/images/75.jpg</v>
      </c>
      <c r="P86" s="3"/>
      <c r="Q86" t="b">
        <v>1</v>
      </c>
      <c r="R86" t="b">
        <v>0</v>
      </c>
      <c r="S86" t="b">
        <v>0</v>
      </c>
      <c r="T86" t="b">
        <v>0</v>
      </c>
      <c r="U86" t="b">
        <v>0</v>
      </c>
      <c r="V86" t="b">
        <v>0</v>
      </c>
      <c r="W86" t="b">
        <v>1</v>
      </c>
    </row>
    <row r="87" spans="1:23" ht="14.25" hidden="1" x14ac:dyDescent="0.45">
      <c r="A87">
        <v>76</v>
      </c>
      <c r="B87" t="s">
        <v>210</v>
      </c>
      <c r="C87" t="s">
        <v>25</v>
      </c>
      <c r="D87" t="s">
        <v>201</v>
      </c>
      <c r="E87" t="s">
        <v>58</v>
      </c>
      <c r="F87" s="2" t="s">
        <v>68</v>
      </c>
      <c r="I87" t="s">
        <v>40</v>
      </c>
      <c r="J87" s="2" t="s">
        <v>211</v>
      </c>
      <c r="K87" s="2">
        <v>4</v>
      </c>
      <c r="L87" s="2">
        <v>4</v>
      </c>
      <c r="M87" s="1">
        <v>12.14</v>
      </c>
      <c r="O87" t="str">
        <f>_xlfn.CONCAT("https://raw.githubusercontent.com/LaryBird12/geo-images/main/images/",Table_Master_Inventory[[#This Row],[Master Record ID]],".jpg")</f>
        <v>https://raw.githubusercontent.com/LaryBird12/geo-images/main/images/76.jpg</v>
      </c>
      <c r="P87" s="3"/>
      <c r="Q87" t="b">
        <v>1</v>
      </c>
      <c r="R87" t="b">
        <v>0</v>
      </c>
      <c r="S87" t="b">
        <v>0</v>
      </c>
      <c r="T87" t="b">
        <v>0</v>
      </c>
      <c r="U87" t="b">
        <v>0</v>
      </c>
      <c r="V87" t="b">
        <v>0</v>
      </c>
      <c r="W87" t="b">
        <v>1</v>
      </c>
    </row>
    <row r="88" spans="1:23" ht="14.25" hidden="1" x14ac:dyDescent="0.45">
      <c r="A88">
        <v>77</v>
      </c>
      <c r="B88" t="s">
        <v>212</v>
      </c>
      <c r="C88" t="s">
        <v>25</v>
      </c>
      <c r="D88" t="s">
        <v>201</v>
      </c>
      <c r="E88" t="s">
        <v>58</v>
      </c>
      <c r="F88" s="2" t="s">
        <v>68</v>
      </c>
      <c r="I88" t="s">
        <v>40</v>
      </c>
      <c r="J88" s="2" t="s">
        <v>213</v>
      </c>
      <c r="K88" s="2">
        <v>4</v>
      </c>
      <c r="L88" s="2">
        <v>2</v>
      </c>
      <c r="M88" s="1">
        <v>6.81</v>
      </c>
      <c r="O88" t="str">
        <f>_xlfn.CONCAT("https://raw.githubusercontent.com/LaryBird12/geo-images/main/images/",Table_Master_Inventory[[#This Row],[Master Record ID]],".jpg")</f>
        <v>https://raw.githubusercontent.com/LaryBird12/geo-images/main/images/77.jpg</v>
      </c>
      <c r="P88" s="3"/>
      <c r="Q88" t="b">
        <v>1</v>
      </c>
      <c r="R88" t="b">
        <v>0</v>
      </c>
      <c r="S88" t="b">
        <v>0</v>
      </c>
      <c r="T88" t="b">
        <v>0</v>
      </c>
      <c r="U88" t="b">
        <v>0</v>
      </c>
      <c r="V88" t="b">
        <v>0</v>
      </c>
      <c r="W88" t="b">
        <v>1</v>
      </c>
    </row>
    <row r="89" spans="1:23" ht="14.25" hidden="1" x14ac:dyDescent="0.45">
      <c r="A89">
        <v>78</v>
      </c>
      <c r="B89" t="s">
        <v>214</v>
      </c>
      <c r="C89" t="s">
        <v>25</v>
      </c>
      <c r="D89" t="s">
        <v>201</v>
      </c>
      <c r="E89" t="s">
        <v>58</v>
      </c>
      <c r="F89" s="2" t="s">
        <v>215</v>
      </c>
      <c r="I89" t="s">
        <v>40</v>
      </c>
      <c r="J89" s="2">
        <v>24985</v>
      </c>
      <c r="K89" s="2">
        <v>6</v>
      </c>
      <c r="L89" s="2">
        <v>4</v>
      </c>
      <c r="M89" s="1">
        <v>23.09</v>
      </c>
      <c r="O89" t="str">
        <f>_xlfn.CONCAT("https://raw.githubusercontent.com/LaryBird12/geo-images/main/images/",Table_Master_Inventory[[#This Row],[Master Record ID]],".jpg")</f>
        <v>https://raw.githubusercontent.com/LaryBird12/geo-images/main/images/78.jpg</v>
      </c>
      <c r="P89" s="3"/>
      <c r="Q89" t="b">
        <v>1</v>
      </c>
      <c r="R89" t="b">
        <v>0</v>
      </c>
      <c r="S89" t="b">
        <v>0</v>
      </c>
      <c r="T89" t="b">
        <v>0</v>
      </c>
      <c r="U89" t="b">
        <v>0</v>
      </c>
      <c r="V89" t="b">
        <v>0</v>
      </c>
      <c r="W89" t="b">
        <v>1</v>
      </c>
    </row>
    <row r="90" spans="1:23" ht="14.25" hidden="1" x14ac:dyDescent="0.45">
      <c r="A90">
        <v>79</v>
      </c>
      <c r="B90" t="s">
        <v>216</v>
      </c>
      <c r="C90" t="s">
        <v>25</v>
      </c>
      <c r="D90" t="s">
        <v>217</v>
      </c>
      <c r="E90" t="s">
        <v>58</v>
      </c>
      <c r="F90" s="2" t="s">
        <v>68</v>
      </c>
      <c r="I90" t="s">
        <v>40</v>
      </c>
      <c r="J90" s="2" t="s">
        <v>218</v>
      </c>
      <c r="K90" s="2">
        <v>20</v>
      </c>
      <c r="L90" s="2">
        <v>20</v>
      </c>
      <c r="M90" s="1">
        <v>0.37</v>
      </c>
      <c r="O90" t="str">
        <f>_xlfn.CONCAT("https://raw.githubusercontent.com/LaryBird12/geo-images/main/images/",Table_Master_Inventory[[#This Row],[Master Record ID]],".jpg")</f>
        <v>https://raw.githubusercontent.com/LaryBird12/geo-images/main/images/79.jpg</v>
      </c>
      <c r="P90" s="3"/>
      <c r="Q90" t="b">
        <v>1</v>
      </c>
      <c r="R90" t="b">
        <v>0</v>
      </c>
      <c r="S90" t="b">
        <v>0</v>
      </c>
      <c r="T90" t="b">
        <v>0</v>
      </c>
      <c r="U90" t="b">
        <v>0</v>
      </c>
      <c r="V90" t="b">
        <v>0</v>
      </c>
      <c r="W90" t="b">
        <v>1</v>
      </c>
    </row>
    <row r="91" spans="1:23" ht="14.25" hidden="1" x14ac:dyDescent="0.45">
      <c r="A91">
        <v>80</v>
      </c>
      <c r="B91" t="s">
        <v>219</v>
      </c>
      <c r="C91" t="s">
        <v>25</v>
      </c>
      <c r="D91" t="s">
        <v>217</v>
      </c>
      <c r="E91" t="s">
        <v>58</v>
      </c>
      <c r="F91" s="2" t="s">
        <v>68</v>
      </c>
      <c r="I91" t="s">
        <v>40</v>
      </c>
      <c r="J91" s="2" t="s">
        <v>220</v>
      </c>
      <c r="K91" s="2">
        <v>4</v>
      </c>
      <c r="L91" s="2">
        <v>4</v>
      </c>
      <c r="M91" s="1">
        <v>1.32</v>
      </c>
      <c r="O91" t="str">
        <f>_xlfn.CONCAT("https://raw.githubusercontent.com/LaryBird12/geo-images/main/images/",Table_Master_Inventory[[#This Row],[Master Record ID]],".jpg")</f>
        <v>https://raw.githubusercontent.com/LaryBird12/geo-images/main/images/80.jpg</v>
      </c>
      <c r="P91" s="3"/>
      <c r="Q91" t="b">
        <v>1</v>
      </c>
      <c r="R91" t="b">
        <v>0</v>
      </c>
      <c r="S91" t="b">
        <v>0</v>
      </c>
      <c r="T91" t="b">
        <v>0</v>
      </c>
      <c r="U91" t="b">
        <v>0</v>
      </c>
      <c r="V91" t="b">
        <v>0</v>
      </c>
      <c r="W91" t="b">
        <v>1</v>
      </c>
    </row>
    <row r="92" spans="1:23" ht="14.25" hidden="1" x14ac:dyDescent="0.45">
      <c r="A92">
        <v>81</v>
      </c>
      <c r="B92" t="s">
        <v>221</v>
      </c>
      <c r="C92" t="s">
        <v>25</v>
      </c>
      <c r="D92" t="s">
        <v>217</v>
      </c>
      <c r="E92" t="s">
        <v>58</v>
      </c>
      <c r="F92" s="2" t="s">
        <v>68</v>
      </c>
      <c r="I92" t="s">
        <v>40</v>
      </c>
      <c r="J92" s="2" t="s">
        <v>222</v>
      </c>
      <c r="K92" s="2">
        <v>4</v>
      </c>
      <c r="L92" s="2">
        <v>4</v>
      </c>
      <c r="M92" s="1">
        <v>0.99</v>
      </c>
      <c r="O92" t="str">
        <f>_xlfn.CONCAT("https://raw.githubusercontent.com/LaryBird12/geo-images/main/images/",Table_Master_Inventory[[#This Row],[Master Record ID]],".jpg")</f>
        <v>https://raw.githubusercontent.com/LaryBird12/geo-images/main/images/81.jpg</v>
      </c>
      <c r="P92" s="3"/>
      <c r="Q92" t="b">
        <v>1</v>
      </c>
      <c r="R92" t="b">
        <v>0</v>
      </c>
      <c r="S92" t="b">
        <v>0</v>
      </c>
      <c r="T92" t="b">
        <v>0</v>
      </c>
      <c r="U92" t="b">
        <v>0</v>
      </c>
      <c r="V92" t="b">
        <v>0</v>
      </c>
      <c r="W92" t="b">
        <v>1</v>
      </c>
    </row>
    <row r="93" spans="1:23" ht="14.25" hidden="1" x14ac:dyDescent="0.45">
      <c r="A93">
        <v>82</v>
      </c>
      <c r="B93" t="s">
        <v>223</v>
      </c>
      <c r="C93" t="s">
        <v>25</v>
      </c>
      <c r="D93" t="s">
        <v>217</v>
      </c>
      <c r="E93" t="s">
        <v>58</v>
      </c>
      <c r="F93" s="2" t="s">
        <v>68</v>
      </c>
      <c r="I93" t="s">
        <v>40</v>
      </c>
      <c r="J93" s="2" t="s">
        <v>224</v>
      </c>
      <c r="K93" s="2">
        <v>10</v>
      </c>
      <c r="L93" s="2">
        <v>10</v>
      </c>
      <c r="M93" s="1">
        <v>0.51</v>
      </c>
      <c r="O93" t="str">
        <f>_xlfn.CONCAT("https://raw.githubusercontent.com/LaryBird12/geo-images/main/images/",Table_Master_Inventory[[#This Row],[Master Record ID]],".jpg")</f>
        <v>https://raw.githubusercontent.com/LaryBird12/geo-images/main/images/82.jpg</v>
      </c>
      <c r="P93" s="3"/>
      <c r="Q93" t="b">
        <v>1</v>
      </c>
      <c r="R93" t="b">
        <v>0</v>
      </c>
      <c r="S93" t="b">
        <v>0</v>
      </c>
      <c r="T93" t="b">
        <v>0</v>
      </c>
      <c r="U93" t="b">
        <v>0</v>
      </c>
      <c r="V93" t="b">
        <v>0</v>
      </c>
      <c r="W93" t="b">
        <v>1</v>
      </c>
    </row>
    <row r="94" spans="1:23" ht="14.25" hidden="1" x14ac:dyDescent="0.45">
      <c r="A94">
        <v>83</v>
      </c>
      <c r="B94" t="s">
        <v>225</v>
      </c>
      <c r="C94" t="s">
        <v>25</v>
      </c>
      <c r="D94" t="s">
        <v>217</v>
      </c>
      <c r="E94" t="s">
        <v>58</v>
      </c>
      <c r="F94" s="2" t="s">
        <v>68</v>
      </c>
      <c r="I94" t="s">
        <v>40</v>
      </c>
      <c r="J94" s="2" t="s">
        <v>226</v>
      </c>
      <c r="K94" s="2">
        <v>10</v>
      </c>
      <c r="L94" s="2">
        <v>10</v>
      </c>
      <c r="M94" s="1">
        <v>0.39</v>
      </c>
      <c r="O94" t="str">
        <f>_xlfn.CONCAT("https://raw.githubusercontent.com/LaryBird12/geo-images/main/images/",Table_Master_Inventory[[#This Row],[Master Record ID]],".jpg")</f>
        <v>https://raw.githubusercontent.com/LaryBird12/geo-images/main/images/83.jpg</v>
      </c>
      <c r="P94" s="3"/>
      <c r="Q94" t="b">
        <v>1</v>
      </c>
      <c r="R94" t="b">
        <v>0</v>
      </c>
      <c r="S94" t="b">
        <v>0</v>
      </c>
      <c r="T94" t="b">
        <v>0</v>
      </c>
      <c r="U94" t="b">
        <v>0</v>
      </c>
      <c r="V94" t="b">
        <v>0</v>
      </c>
      <c r="W94" t="b">
        <v>1</v>
      </c>
    </row>
    <row r="95" spans="1:23" ht="14.25" hidden="1" x14ac:dyDescent="0.45">
      <c r="A95">
        <v>84</v>
      </c>
      <c r="B95" t="s">
        <v>227</v>
      </c>
      <c r="C95" t="s">
        <v>25</v>
      </c>
      <c r="D95" t="s">
        <v>217</v>
      </c>
      <c r="E95" t="s">
        <v>58</v>
      </c>
      <c r="F95" s="2" t="s">
        <v>68</v>
      </c>
      <c r="I95" t="s">
        <v>40</v>
      </c>
      <c r="J95" s="2" t="s">
        <v>228</v>
      </c>
      <c r="K95" s="2">
        <v>10</v>
      </c>
      <c r="L95" s="2">
        <v>10</v>
      </c>
      <c r="M95" s="1">
        <v>0.38</v>
      </c>
      <c r="O95" t="str">
        <f>_xlfn.CONCAT("https://raw.githubusercontent.com/LaryBird12/geo-images/main/images/",Table_Master_Inventory[[#This Row],[Master Record ID]],".jpg")</f>
        <v>https://raw.githubusercontent.com/LaryBird12/geo-images/main/images/84.jpg</v>
      </c>
      <c r="P95" s="3"/>
      <c r="Q95" t="b">
        <v>1</v>
      </c>
      <c r="R95" t="b">
        <v>0</v>
      </c>
      <c r="S95" t="b">
        <v>0</v>
      </c>
      <c r="T95" t="b">
        <v>0</v>
      </c>
      <c r="U95" t="b">
        <v>0</v>
      </c>
      <c r="V95" t="b">
        <v>0</v>
      </c>
      <c r="W95" t="b">
        <v>1</v>
      </c>
    </row>
    <row r="96" spans="1:23" ht="14.25" hidden="1" x14ac:dyDescent="0.45">
      <c r="A96">
        <v>85</v>
      </c>
      <c r="B96" t="s">
        <v>229</v>
      </c>
      <c r="C96" t="s">
        <v>25</v>
      </c>
      <c r="D96" t="s">
        <v>217</v>
      </c>
      <c r="E96" t="s">
        <v>58</v>
      </c>
      <c r="F96" s="2" t="s">
        <v>68</v>
      </c>
      <c r="I96" t="s">
        <v>40</v>
      </c>
      <c r="J96" s="2" t="s">
        <v>230</v>
      </c>
      <c r="K96" s="2">
        <v>6</v>
      </c>
      <c r="L96" s="2">
        <v>6</v>
      </c>
      <c r="M96" s="1">
        <v>0.93</v>
      </c>
      <c r="O96" t="str">
        <f>_xlfn.CONCAT("https://raw.githubusercontent.com/LaryBird12/geo-images/main/images/",Table_Master_Inventory[[#This Row],[Master Record ID]],".jpg")</f>
        <v>https://raw.githubusercontent.com/LaryBird12/geo-images/main/images/85.jpg</v>
      </c>
      <c r="P96" s="3"/>
      <c r="Q96" t="b">
        <v>1</v>
      </c>
      <c r="R96" t="b">
        <v>0</v>
      </c>
      <c r="S96" t="b">
        <v>0</v>
      </c>
      <c r="T96" t="b">
        <v>0</v>
      </c>
      <c r="U96" t="b">
        <v>0</v>
      </c>
      <c r="V96" t="b">
        <v>0</v>
      </c>
      <c r="W96" t="b">
        <v>1</v>
      </c>
    </row>
    <row r="97" spans="1:23" ht="14.25" hidden="1" x14ac:dyDescent="0.45">
      <c r="A97">
        <v>86</v>
      </c>
      <c r="B97" t="s">
        <v>231</v>
      </c>
      <c r="C97" t="s">
        <v>25</v>
      </c>
      <c r="D97" t="s">
        <v>217</v>
      </c>
      <c r="E97" t="s">
        <v>58</v>
      </c>
      <c r="F97" s="2" t="s">
        <v>68</v>
      </c>
      <c r="I97" t="s">
        <v>40</v>
      </c>
      <c r="J97" s="2" t="s">
        <v>232</v>
      </c>
      <c r="K97" s="2">
        <v>10</v>
      </c>
      <c r="L97" s="2">
        <v>4</v>
      </c>
      <c r="M97" s="1">
        <v>0.8</v>
      </c>
      <c r="O97" t="str">
        <f>_xlfn.CONCAT("https://raw.githubusercontent.com/LaryBird12/geo-images/main/images/",Table_Master_Inventory[[#This Row],[Master Record ID]],".jpg")</f>
        <v>https://raw.githubusercontent.com/LaryBird12/geo-images/main/images/86.jpg</v>
      </c>
      <c r="P97" s="3"/>
      <c r="Q97" t="b">
        <v>1</v>
      </c>
      <c r="R97" t="b">
        <v>0</v>
      </c>
      <c r="S97" t="b">
        <v>0</v>
      </c>
      <c r="T97" t="b">
        <v>0</v>
      </c>
      <c r="U97" t="b">
        <v>0</v>
      </c>
      <c r="V97" t="b">
        <v>0</v>
      </c>
      <c r="W97" t="b">
        <v>1</v>
      </c>
    </row>
    <row r="98" spans="1:23" ht="14.25" hidden="1" x14ac:dyDescent="0.45">
      <c r="A98">
        <v>87</v>
      </c>
      <c r="B98" t="s">
        <v>233</v>
      </c>
      <c r="C98" t="s">
        <v>25</v>
      </c>
      <c r="D98" t="s">
        <v>217</v>
      </c>
      <c r="E98" t="s">
        <v>58</v>
      </c>
      <c r="F98" s="2" t="s">
        <v>68</v>
      </c>
      <c r="I98" t="s">
        <v>29</v>
      </c>
      <c r="J98" s="2">
        <v>1002217597</v>
      </c>
      <c r="K98" s="2">
        <v>6</v>
      </c>
      <c r="L98" s="2">
        <v>6</v>
      </c>
      <c r="M98" s="1">
        <v>1.3</v>
      </c>
      <c r="O98" t="str">
        <f>_xlfn.CONCAT("https://raw.githubusercontent.com/LaryBird12/geo-images/main/images/",Table_Master_Inventory[[#This Row],[Master Record ID]],".jpg")</f>
        <v>https://raw.githubusercontent.com/LaryBird12/geo-images/main/images/87.jpg</v>
      </c>
      <c r="P98" s="3"/>
      <c r="Q98" t="b">
        <v>1</v>
      </c>
      <c r="R98" t="b">
        <v>0</v>
      </c>
      <c r="S98" t="b">
        <v>0</v>
      </c>
      <c r="T98" t="b">
        <v>0</v>
      </c>
      <c r="U98" t="b">
        <v>0</v>
      </c>
      <c r="V98" t="b">
        <v>0</v>
      </c>
      <c r="W98" t="b">
        <v>1</v>
      </c>
    </row>
    <row r="99" spans="1:23" ht="14.25" hidden="1" x14ac:dyDescent="0.45">
      <c r="A99">
        <v>88</v>
      </c>
      <c r="B99" t="s">
        <v>234</v>
      </c>
      <c r="C99" t="s">
        <v>25</v>
      </c>
      <c r="D99" t="s">
        <v>217</v>
      </c>
      <c r="E99" t="s">
        <v>58</v>
      </c>
      <c r="F99" s="2" t="s">
        <v>60</v>
      </c>
      <c r="I99" t="s">
        <v>40</v>
      </c>
      <c r="J99" s="2" t="s">
        <v>235</v>
      </c>
      <c r="K99" s="2">
        <v>2</v>
      </c>
      <c r="L99" s="2">
        <v>2</v>
      </c>
      <c r="M99" s="1">
        <v>4.8899999999999997</v>
      </c>
      <c r="O99" t="str">
        <f>_xlfn.CONCAT("https://raw.githubusercontent.com/LaryBird12/geo-images/main/images/",Table_Master_Inventory[[#This Row],[Master Record ID]],".jpg")</f>
        <v>https://raw.githubusercontent.com/LaryBird12/geo-images/main/images/88.jpg</v>
      </c>
      <c r="P99" s="3"/>
      <c r="Q99" t="b">
        <v>1</v>
      </c>
      <c r="R99" t="b">
        <v>0</v>
      </c>
      <c r="S99" t="b">
        <v>0</v>
      </c>
      <c r="T99" t="b">
        <v>0</v>
      </c>
      <c r="U99" t="b">
        <v>0</v>
      </c>
      <c r="V99" t="b">
        <v>0</v>
      </c>
      <c r="W99" t="b">
        <v>1</v>
      </c>
    </row>
    <row r="100" spans="1:23" ht="14.25" hidden="1" x14ac:dyDescent="0.45">
      <c r="A100">
        <v>89</v>
      </c>
      <c r="B100" t="s">
        <v>236</v>
      </c>
      <c r="C100" t="s">
        <v>25</v>
      </c>
      <c r="D100" t="s">
        <v>217</v>
      </c>
      <c r="E100" t="s">
        <v>58</v>
      </c>
      <c r="F100" s="2" t="s">
        <v>60</v>
      </c>
      <c r="I100" t="s">
        <v>40</v>
      </c>
      <c r="J100" s="2" t="s">
        <v>237</v>
      </c>
      <c r="K100" s="2">
        <v>2</v>
      </c>
      <c r="L100" s="2">
        <v>2</v>
      </c>
      <c r="M100" s="1">
        <v>1.77</v>
      </c>
      <c r="O100" t="str">
        <f>_xlfn.CONCAT("https://raw.githubusercontent.com/LaryBird12/geo-images/main/images/",Table_Master_Inventory[[#This Row],[Master Record ID]],".jpg")</f>
        <v>https://raw.githubusercontent.com/LaryBird12/geo-images/main/images/89.jpg</v>
      </c>
      <c r="P100" s="3"/>
      <c r="Q100" t="b">
        <v>1</v>
      </c>
      <c r="R100" t="b">
        <v>0</v>
      </c>
      <c r="S100" t="b">
        <v>0</v>
      </c>
      <c r="T100" t="b">
        <v>0</v>
      </c>
      <c r="U100" t="b">
        <v>0</v>
      </c>
      <c r="V100" t="b">
        <v>0</v>
      </c>
      <c r="W100" t="b">
        <v>1</v>
      </c>
    </row>
    <row r="101" spans="1:23" ht="14.25" hidden="1" x14ac:dyDescent="0.45">
      <c r="A101">
        <v>90</v>
      </c>
      <c r="B101" t="s">
        <v>238</v>
      </c>
      <c r="C101" t="s">
        <v>25</v>
      </c>
      <c r="D101" t="s">
        <v>86</v>
      </c>
      <c r="E101" t="s">
        <v>239</v>
      </c>
      <c r="F101" s="2" t="s">
        <v>124</v>
      </c>
      <c r="I101" t="s">
        <v>29</v>
      </c>
      <c r="J101" s="2">
        <v>1005695140</v>
      </c>
      <c r="K101" s="2">
        <v>100</v>
      </c>
      <c r="L101" s="2">
        <v>50</v>
      </c>
      <c r="M101" s="1">
        <v>0.24</v>
      </c>
      <c r="N101" t="s">
        <v>31</v>
      </c>
      <c r="O101" t="str">
        <f>_xlfn.CONCAT("https://raw.githubusercontent.com/LaryBird12/geo-images/main/images/",Table_Master_Inventory[[#This Row],[Master Record ID]],".jpg")</f>
        <v>https://raw.githubusercontent.com/LaryBird12/geo-images/main/images/90.jpg</v>
      </c>
      <c r="P101" s="3"/>
      <c r="Q101" t="b">
        <v>1</v>
      </c>
      <c r="R101" t="b">
        <v>0</v>
      </c>
      <c r="S101" t="b">
        <v>0</v>
      </c>
      <c r="T101" t="b">
        <v>0</v>
      </c>
      <c r="U101" t="b">
        <v>0</v>
      </c>
      <c r="V101" t="b">
        <v>0</v>
      </c>
      <c r="W101" t="b">
        <v>1</v>
      </c>
    </row>
    <row r="102" spans="1:23" ht="14.25" hidden="1" x14ac:dyDescent="0.45">
      <c r="A102">
        <v>91</v>
      </c>
      <c r="B102" t="s">
        <v>240</v>
      </c>
      <c r="C102" t="s">
        <v>25</v>
      </c>
      <c r="D102" t="s">
        <v>86</v>
      </c>
      <c r="E102" t="s">
        <v>239</v>
      </c>
      <c r="F102" s="2" t="s">
        <v>60</v>
      </c>
      <c r="I102" t="s">
        <v>40</v>
      </c>
      <c r="J102" s="2" t="s">
        <v>241</v>
      </c>
      <c r="K102" s="2">
        <v>10</v>
      </c>
      <c r="L102" s="2">
        <v>10</v>
      </c>
      <c r="M102" s="1">
        <v>1</v>
      </c>
      <c r="O102" t="str">
        <f>_xlfn.CONCAT("https://raw.githubusercontent.com/LaryBird12/geo-images/main/images/",Table_Master_Inventory[[#This Row],[Master Record ID]],".jpg")</f>
        <v>https://raw.githubusercontent.com/LaryBird12/geo-images/main/images/91.jpg</v>
      </c>
      <c r="P102" s="3"/>
      <c r="Q102" t="b">
        <v>1</v>
      </c>
      <c r="R102" t="b">
        <v>0</v>
      </c>
      <c r="S102" t="b">
        <v>0</v>
      </c>
      <c r="T102" t="b">
        <v>0</v>
      </c>
      <c r="U102" t="b">
        <v>0</v>
      </c>
      <c r="V102" t="b">
        <v>0</v>
      </c>
      <c r="W102" t="b">
        <v>1</v>
      </c>
    </row>
    <row r="103" spans="1:23" ht="14.25" hidden="1" x14ac:dyDescent="0.45">
      <c r="A103">
        <v>92</v>
      </c>
      <c r="B103" t="s">
        <v>242</v>
      </c>
      <c r="C103" t="s">
        <v>25</v>
      </c>
      <c r="D103" t="s">
        <v>86</v>
      </c>
      <c r="E103" t="s">
        <v>239</v>
      </c>
      <c r="F103" s="2" t="s">
        <v>60</v>
      </c>
      <c r="I103" t="s">
        <v>40</v>
      </c>
      <c r="J103" s="2" t="s">
        <v>243</v>
      </c>
      <c r="K103" s="2">
        <v>50</v>
      </c>
      <c r="L103" s="2">
        <v>20</v>
      </c>
      <c r="M103" s="1">
        <v>0.1</v>
      </c>
      <c r="O103" t="str">
        <f>_xlfn.CONCAT("https://raw.githubusercontent.com/LaryBird12/geo-images/main/images/",Table_Master_Inventory[[#This Row],[Master Record ID]],".jpg")</f>
        <v>https://raw.githubusercontent.com/LaryBird12/geo-images/main/images/92.jpg</v>
      </c>
      <c r="P103" s="3"/>
      <c r="Q103" t="b">
        <v>1</v>
      </c>
      <c r="R103" t="b">
        <v>0</v>
      </c>
      <c r="S103" t="b">
        <v>0</v>
      </c>
      <c r="T103" t="b">
        <v>0</v>
      </c>
      <c r="U103" t="b">
        <v>0</v>
      </c>
      <c r="V103" t="b">
        <v>0</v>
      </c>
      <c r="W103" t="b">
        <v>1</v>
      </c>
    </row>
    <row r="104" spans="1:23" ht="14.25" hidden="1" x14ac:dyDescent="0.45">
      <c r="A104">
        <v>93</v>
      </c>
      <c r="B104" t="s">
        <v>244</v>
      </c>
      <c r="C104" t="s">
        <v>25</v>
      </c>
      <c r="D104" t="s">
        <v>86</v>
      </c>
      <c r="E104" t="s">
        <v>239</v>
      </c>
      <c r="F104" s="2" t="s">
        <v>135</v>
      </c>
      <c r="I104" t="s">
        <v>29</v>
      </c>
      <c r="J104" s="2">
        <v>1006959446</v>
      </c>
      <c r="K104" s="2">
        <v>20</v>
      </c>
      <c r="L104" s="2">
        <v>20</v>
      </c>
      <c r="M104" s="1">
        <v>2.82</v>
      </c>
      <c r="O104" t="str">
        <f>_xlfn.CONCAT("https://raw.githubusercontent.com/LaryBird12/geo-images/main/images/",Table_Master_Inventory[[#This Row],[Master Record ID]],".jpg")</f>
        <v>https://raw.githubusercontent.com/LaryBird12/geo-images/main/images/93.jpg</v>
      </c>
      <c r="P104" s="3"/>
      <c r="Q104" t="b">
        <v>1</v>
      </c>
      <c r="R104" t="b">
        <v>1</v>
      </c>
      <c r="S104" t="b">
        <v>0</v>
      </c>
      <c r="T104" t="b">
        <v>0</v>
      </c>
      <c r="U104" t="b">
        <v>0</v>
      </c>
      <c r="V104" t="b">
        <v>0</v>
      </c>
      <c r="W104" t="b">
        <v>1</v>
      </c>
    </row>
    <row r="105" spans="1:23" ht="14.25" hidden="1" x14ac:dyDescent="0.45">
      <c r="A105">
        <v>94</v>
      </c>
      <c r="B105" t="s">
        <v>245</v>
      </c>
      <c r="C105" t="s">
        <v>25</v>
      </c>
      <c r="D105" t="s">
        <v>86</v>
      </c>
      <c r="E105" t="s">
        <v>239</v>
      </c>
      <c r="F105" s="2" t="s">
        <v>246</v>
      </c>
      <c r="I105" t="s">
        <v>29</v>
      </c>
      <c r="J105" s="2" t="s">
        <v>247</v>
      </c>
      <c r="K105" s="2">
        <v>500</v>
      </c>
      <c r="L105" s="2">
        <v>100</v>
      </c>
      <c r="M105" s="1"/>
      <c r="O105" t="str">
        <f>_xlfn.CONCAT("https://raw.githubusercontent.com/LaryBird12/geo-images/main/images/",Table_Master_Inventory[[#This Row],[Master Record ID]],".jpg")</f>
        <v>https://raw.githubusercontent.com/LaryBird12/geo-images/main/images/94.jpg</v>
      </c>
      <c r="P105" s="3"/>
      <c r="Q105" t="b">
        <v>1</v>
      </c>
      <c r="R105" t="b">
        <v>0</v>
      </c>
      <c r="S105" t="b">
        <v>0</v>
      </c>
      <c r="T105" t="b">
        <v>0</v>
      </c>
      <c r="U105" t="b">
        <v>0</v>
      </c>
      <c r="V105" t="b">
        <v>0</v>
      </c>
      <c r="W105" t="b">
        <v>1</v>
      </c>
    </row>
    <row r="106" spans="1:23" ht="14.25" hidden="1" x14ac:dyDescent="0.45">
      <c r="A106">
        <v>95</v>
      </c>
      <c r="B106" t="s">
        <v>248</v>
      </c>
      <c r="C106" t="s">
        <v>25</v>
      </c>
      <c r="D106" t="s">
        <v>86</v>
      </c>
      <c r="E106" t="s">
        <v>239</v>
      </c>
      <c r="F106" s="2" t="s">
        <v>68</v>
      </c>
      <c r="I106" t="s">
        <v>249</v>
      </c>
      <c r="J106" s="2">
        <v>532</v>
      </c>
      <c r="K106" s="2">
        <v>100</v>
      </c>
      <c r="L106" s="2">
        <v>50</v>
      </c>
      <c r="M106" s="1">
        <v>0.39</v>
      </c>
      <c r="O106" t="str">
        <f>_xlfn.CONCAT("https://raw.githubusercontent.com/LaryBird12/geo-images/main/images/",Table_Master_Inventory[[#This Row],[Master Record ID]],".jpg")</f>
        <v>https://raw.githubusercontent.com/LaryBird12/geo-images/main/images/95.jpg</v>
      </c>
      <c r="P106" s="3"/>
      <c r="Q106" t="b">
        <v>1</v>
      </c>
      <c r="R106" t="b">
        <v>0</v>
      </c>
      <c r="S106" t="b">
        <v>0</v>
      </c>
      <c r="T106" t="b">
        <v>0</v>
      </c>
      <c r="U106" t="b">
        <v>0</v>
      </c>
      <c r="V106" t="b">
        <v>0</v>
      </c>
      <c r="W106" t="b">
        <v>1</v>
      </c>
    </row>
    <row r="107" spans="1:23" ht="14.25" hidden="1" x14ac:dyDescent="0.45">
      <c r="A107">
        <v>96</v>
      </c>
      <c r="B107" t="s">
        <v>250</v>
      </c>
      <c r="C107" t="s">
        <v>25</v>
      </c>
      <c r="D107" t="s">
        <v>86</v>
      </c>
      <c r="E107" t="s">
        <v>239</v>
      </c>
      <c r="F107" s="2" t="s">
        <v>251</v>
      </c>
      <c r="I107" t="s">
        <v>40</v>
      </c>
      <c r="J107" s="2" t="s">
        <v>252</v>
      </c>
      <c r="K107" s="2">
        <v>10</v>
      </c>
      <c r="L107" s="2">
        <v>10</v>
      </c>
      <c r="M107" s="1">
        <v>1.3</v>
      </c>
      <c r="O107" t="str">
        <f>_xlfn.CONCAT("https://raw.githubusercontent.com/LaryBird12/geo-images/main/images/",Table_Master_Inventory[[#This Row],[Master Record ID]],".jpg")</f>
        <v>https://raw.githubusercontent.com/LaryBird12/geo-images/main/images/96.jpg</v>
      </c>
      <c r="P107" s="3"/>
      <c r="Q107" t="b">
        <v>1</v>
      </c>
      <c r="R107" t="b">
        <v>0</v>
      </c>
      <c r="S107" t="b">
        <v>0</v>
      </c>
      <c r="T107" t="b">
        <v>0</v>
      </c>
      <c r="U107" t="b">
        <v>0</v>
      </c>
      <c r="V107" t="b">
        <v>0</v>
      </c>
      <c r="W107" t="b">
        <v>1</v>
      </c>
    </row>
    <row r="108" spans="1:23" ht="14.25" hidden="1" x14ac:dyDescent="0.45">
      <c r="A108">
        <v>97</v>
      </c>
      <c r="B108" t="s">
        <v>253</v>
      </c>
      <c r="C108" t="s">
        <v>25</v>
      </c>
      <c r="D108" t="s">
        <v>86</v>
      </c>
      <c r="E108" t="s">
        <v>239</v>
      </c>
      <c r="F108" s="2" t="s">
        <v>254</v>
      </c>
      <c r="I108" t="s">
        <v>40</v>
      </c>
      <c r="J108" s="2" t="s">
        <v>255</v>
      </c>
      <c r="K108" s="2">
        <v>10</v>
      </c>
      <c r="L108" s="2">
        <v>10</v>
      </c>
      <c r="M108" s="1">
        <v>1.41</v>
      </c>
      <c r="O108" t="str">
        <f>_xlfn.CONCAT("https://raw.githubusercontent.com/LaryBird12/geo-images/main/images/",Table_Master_Inventory[[#This Row],[Master Record ID]],".jpg")</f>
        <v>https://raw.githubusercontent.com/LaryBird12/geo-images/main/images/97.jpg</v>
      </c>
      <c r="P108" s="3"/>
      <c r="Q108" t="b">
        <v>1</v>
      </c>
      <c r="R108" t="b">
        <v>0</v>
      </c>
      <c r="S108" t="b">
        <v>0</v>
      </c>
      <c r="T108" t="b">
        <v>0</v>
      </c>
      <c r="U108" t="b">
        <v>0</v>
      </c>
      <c r="V108" t="b">
        <v>0</v>
      </c>
      <c r="W108" t="b">
        <v>1</v>
      </c>
    </row>
    <row r="109" spans="1:23" ht="14.25" hidden="1" x14ac:dyDescent="0.45">
      <c r="A109">
        <v>98</v>
      </c>
      <c r="B109" t="s">
        <v>256</v>
      </c>
      <c r="C109" t="s">
        <v>257</v>
      </c>
      <c r="D109" t="s">
        <v>258</v>
      </c>
      <c r="F109" s="2" t="s">
        <v>259</v>
      </c>
      <c r="I109" t="s">
        <v>29</v>
      </c>
      <c r="J109" s="2">
        <v>1005812473</v>
      </c>
      <c r="K109" s="2">
        <v>5</v>
      </c>
      <c r="L109" s="2">
        <v>5</v>
      </c>
      <c r="M109" s="1">
        <v>2.09</v>
      </c>
      <c r="O109" t="str">
        <f>_xlfn.CONCAT("https://raw.githubusercontent.com/LaryBird12/geo-images/main/images/",Table_Master_Inventory[[#This Row],[Master Record ID]],".jpg")</f>
        <v>https://raw.githubusercontent.com/LaryBird12/geo-images/main/images/98.jpg</v>
      </c>
      <c r="P109" s="3"/>
      <c r="Q109" t="b">
        <v>1</v>
      </c>
      <c r="R109" t="b">
        <v>0</v>
      </c>
      <c r="S109" t="b">
        <v>0</v>
      </c>
      <c r="T109" t="b">
        <v>0</v>
      </c>
      <c r="U109" t="b">
        <v>0</v>
      </c>
      <c r="V109" t="b">
        <v>1</v>
      </c>
      <c r="W109" t="b">
        <v>0</v>
      </c>
    </row>
    <row r="110" spans="1:23" ht="14.25" hidden="1" x14ac:dyDescent="0.45">
      <c r="A110">
        <v>99</v>
      </c>
      <c r="B110" t="s">
        <v>260</v>
      </c>
      <c r="C110" t="s">
        <v>257</v>
      </c>
      <c r="D110" t="s">
        <v>258</v>
      </c>
      <c r="F110" s="2" t="s">
        <v>259</v>
      </c>
      <c r="I110" t="s">
        <v>29</v>
      </c>
      <c r="J110" s="2">
        <v>1000010438</v>
      </c>
      <c r="K110" s="2">
        <v>2</v>
      </c>
      <c r="L110" s="2">
        <v>2</v>
      </c>
      <c r="M110" s="1">
        <v>18.97</v>
      </c>
      <c r="O110" t="str">
        <f>_xlfn.CONCAT("https://raw.githubusercontent.com/LaryBird12/geo-images/main/images/",Table_Master_Inventory[[#This Row],[Master Record ID]],".jpg")</f>
        <v>https://raw.githubusercontent.com/LaryBird12/geo-images/main/images/99.jpg</v>
      </c>
      <c r="P110" s="3"/>
      <c r="Q110" t="b">
        <v>1</v>
      </c>
      <c r="R110" t="b">
        <v>0</v>
      </c>
      <c r="S110" t="b">
        <v>0</v>
      </c>
      <c r="T110" t="b">
        <v>0</v>
      </c>
      <c r="U110" t="b">
        <v>0</v>
      </c>
      <c r="V110" t="b">
        <v>1</v>
      </c>
      <c r="W110" t="b">
        <v>0</v>
      </c>
    </row>
    <row r="111" spans="1:23" ht="14.25" hidden="1" x14ac:dyDescent="0.45">
      <c r="A111">
        <v>100</v>
      </c>
      <c r="B111" t="s">
        <v>261</v>
      </c>
      <c r="C111" t="s">
        <v>257</v>
      </c>
      <c r="D111" t="s">
        <v>258</v>
      </c>
      <c r="F111" s="2" t="s">
        <v>262</v>
      </c>
      <c r="I111" t="s">
        <v>29</v>
      </c>
      <c r="J111" s="2">
        <v>1000040984</v>
      </c>
      <c r="K111" s="2" t="s">
        <v>121</v>
      </c>
      <c r="L111" s="2" t="s">
        <v>121</v>
      </c>
      <c r="M111" s="1">
        <v>0.35</v>
      </c>
      <c r="N111" t="s">
        <v>31</v>
      </c>
      <c r="O111" t="str">
        <f>_xlfn.CONCAT("https://raw.githubusercontent.com/LaryBird12/geo-images/main/images/",Table_Master_Inventory[[#This Row],[Master Record ID]],".jpg")</f>
        <v>https://raw.githubusercontent.com/LaryBird12/geo-images/main/images/100.jpg</v>
      </c>
      <c r="P111" s="3"/>
      <c r="Q111" t="b">
        <v>1</v>
      </c>
      <c r="R111" t="b">
        <v>0</v>
      </c>
      <c r="S111" t="b">
        <v>0</v>
      </c>
      <c r="T111" t="b">
        <v>0</v>
      </c>
      <c r="U111" t="b">
        <v>0</v>
      </c>
      <c r="V111" t="b">
        <v>1</v>
      </c>
      <c r="W111" t="b">
        <v>0</v>
      </c>
    </row>
    <row r="112" spans="1:23" ht="14.25" hidden="1" x14ac:dyDescent="0.45">
      <c r="A112">
        <v>101</v>
      </c>
      <c r="B112" t="s">
        <v>263</v>
      </c>
      <c r="C112" t="s">
        <v>257</v>
      </c>
      <c r="D112" t="s">
        <v>258</v>
      </c>
      <c r="F112" s="2" t="s">
        <v>264</v>
      </c>
      <c r="I112" t="s">
        <v>265</v>
      </c>
      <c r="J112" s="2">
        <v>402569</v>
      </c>
      <c r="K112" s="2">
        <v>6</v>
      </c>
      <c r="L112" s="2">
        <v>3</v>
      </c>
      <c r="M112" s="1"/>
      <c r="O112" t="str">
        <f>_xlfn.CONCAT("https://raw.githubusercontent.com/LaryBird12/geo-images/main/images/",Table_Master_Inventory[[#This Row],[Master Record ID]],".jpg")</f>
        <v>https://raw.githubusercontent.com/LaryBird12/geo-images/main/images/101.jpg</v>
      </c>
      <c r="P112" s="3"/>
      <c r="Q112" t="b">
        <v>1</v>
      </c>
      <c r="R112" t="b">
        <v>0</v>
      </c>
      <c r="S112" t="b">
        <v>0</v>
      </c>
      <c r="T112" t="b">
        <v>0</v>
      </c>
      <c r="U112" t="b">
        <v>0</v>
      </c>
      <c r="V112" t="b">
        <v>1</v>
      </c>
      <c r="W112" t="b">
        <v>0</v>
      </c>
    </row>
    <row r="113" spans="1:23" ht="14.25" hidden="1" x14ac:dyDescent="0.45">
      <c r="A113">
        <v>102</v>
      </c>
      <c r="B113" t="s">
        <v>266</v>
      </c>
      <c r="C113" t="s">
        <v>257</v>
      </c>
      <c r="D113" t="s">
        <v>258</v>
      </c>
      <c r="F113" s="2" t="s">
        <v>267</v>
      </c>
      <c r="I113" t="s">
        <v>29</v>
      </c>
      <c r="J113" s="2" t="s">
        <v>268</v>
      </c>
      <c r="K113" s="2">
        <v>10</v>
      </c>
      <c r="L113" s="2">
        <v>5</v>
      </c>
      <c r="M113" s="1">
        <v>3.99</v>
      </c>
      <c r="N113" t="s">
        <v>31</v>
      </c>
      <c r="O113" t="str">
        <f>_xlfn.CONCAT("https://raw.githubusercontent.com/LaryBird12/geo-images/main/images/",Table_Master_Inventory[[#This Row],[Master Record ID]],".jpg")</f>
        <v>https://raw.githubusercontent.com/LaryBird12/geo-images/main/images/102.jpg</v>
      </c>
      <c r="P113" s="3"/>
      <c r="Q113" t="b">
        <v>1</v>
      </c>
      <c r="R113" t="b">
        <v>0</v>
      </c>
      <c r="S113" t="b">
        <v>0</v>
      </c>
      <c r="T113" t="b">
        <v>0</v>
      </c>
      <c r="U113" t="b">
        <v>0</v>
      </c>
      <c r="V113" t="b">
        <v>1</v>
      </c>
      <c r="W113" t="b">
        <v>0</v>
      </c>
    </row>
    <row r="114" spans="1:23" ht="14.25" hidden="1" x14ac:dyDescent="0.45">
      <c r="A114">
        <v>103</v>
      </c>
      <c r="B114" t="s">
        <v>269</v>
      </c>
      <c r="C114" t="s">
        <v>257</v>
      </c>
      <c r="D114" t="s">
        <v>258</v>
      </c>
      <c r="F114" s="2" t="s">
        <v>267</v>
      </c>
      <c r="I114" t="s">
        <v>29</v>
      </c>
      <c r="J114" s="2" t="s">
        <v>270</v>
      </c>
      <c r="K114" s="2">
        <v>10</v>
      </c>
      <c r="L114" s="2">
        <v>5</v>
      </c>
      <c r="M114" s="1">
        <v>3.39</v>
      </c>
      <c r="N114" t="s">
        <v>31</v>
      </c>
      <c r="O114" t="str">
        <f>_xlfn.CONCAT("https://raw.githubusercontent.com/LaryBird12/geo-images/main/images/",Table_Master_Inventory[[#This Row],[Master Record ID]],".jpg")</f>
        <v>https://raw.githubusercontent.com/LaryBird12/geo-images/main/images/103.jpg</v>
      </c>
      <c r="P114" s="3"/>
      <c r="Q114" t="b">
        <v>1</v>
      </c>
      <c r="R114" t="b">
        <v>0</v>
      </c>
      <c r="S114" t="b">
        <v>0</v>
      </c>
      <c r="T114" t="b">
        <v>0</v>
      </c>
      <c r="U114" t="b">
        <v>0</v>
      </c>
      <c r="V114" t="b">
        <v>1</v>
      </c>
      <c r="W114" t="b">
        <v>0</v>
      </c>
    </row>
    <row r="115" spans="1:23" ht="14.25" hidden="1" x14ac:dyDescent="0.45">
      <c r="A115">
        <v>104</v>
      </c>
      <c r="B115" t="s">
        <v>271</v>
      </c>
      <c r="C115" t="s">
        <v>257</v>
      </c>
      <c r="D115" t="s">
        <v>258</v>
      </c>
      <c r="F115" s="2" t="s">
        <v>272</v>
      </c>
      <c r="I115" t="s">
        <v>29</v>
      </c>
      <c r="J115" s="2" t="s">
        <v>273</v>
      </c>
      <c r="K115" s="2">
        <v>10</v>
      </c>
      <c r="L115" s="2">
        <v>5</v>
      </c>
      <c r="M115" s="1">
        <v>2.99</v>
      </c>
      <c r="N115" t="s">
        <v>31</v>
      </c>
      <c r="O115" t="str">
        <f>_xlfn.CONCAT("https://raw.githubusercontent.com/LaryBird12/geo-images/main/images/",Table_Master_Inventory[[#This Row],[Master Record ID]],".jpg")</f>
        <v>https://raw.githubusercontent.com/LaryBird12/geo-images/main/images/104.jpg</v>
      </c>
      <c r="P115" s="3"/>
      <c r="Q115" t="b">
        <v>1</v>
      </c>
      <c r="R115" t="b">
        <v>0</v>
      </c>
      <c r="S115" t="b">
        <v>0</v>
      </c>
      <c r="T115" t="b">
        <v>0</v>
      </c>
      <c r="U115" t="b">
        <v>0</v>
      </c>
      <c r="V115" t="b">
        <v>1</v>
      </c>
      <c r="W115" t="b">
        <v>0</v>
      </c>
    </row>
    <row r="116" spans="1:23" ht="14.25" hidden="1" x14ac:dyDescent="0.45">
      <c r="A116">
        <v>105</v>
      </c>
      <c r="B116" t="s">
        <v>274</v>
      </c>
      <c r="C116" t="s">
        <v>257</v>
      </c>
      <c r="D116" t="s">
        <v>258</v>
      </c>
      <c r="F116" s="2" t="s">
        <v>272</v>
      </c>
      <c r="I116" t="s">
        <v>29</v>
      </c>
      <c r="J116" s="2" t="s">
        <v>275</v>
      </c>
      <c r="K116" s="2">
        <v>10</v>
      </c>
      <c r="L116" s="2">
        <v>5</v>
      </c>
      <c r="M116" s="1">
        <v>2.89</v>
      </c>
      <c r="N116" t="s">
        <v>31</v>
      </c>
      <c r="O116" t="str">
        <f>_xlfn.CONCAT("https://raw.githubusercontent.com/LaryBird12/geo-images/main/images/",Table_Master_Inventory[[#This Row],[Master Record ID]],".jpg")</f>
        <v>https://raw.githubusercontent.com/LaryBird12/geo-images/main/images/105.jpg</v>
      </c>
      <c r="P116" s="3"/>
      <c r="Q116" t="b">
        <v>1</v>
      </c>
      <c r="R116" t="b">
        <v>0</v>
      </c>
      <c r="S116" t="b">
        <v>0</v>
      </c>
      <c r="T116" t="b">
        <v>0</v>
      </c>
      <c r="U116" t="b">
        <v>0</v>
      </c>
      <c r="V116" t="b">
        <v>1</v>
      </c>
      <c r="W116" t="b">
        <v>0</v>
      </c>
    </row>
    <row r="117" spans="1:23" ht="14.25" hidden="1" x14ac:dyDescent="0.45">
      <c r="A117">
        <v>106</v>
      </c>
      <c r="B117" t="s">
        <v>276</v>
      </c>
      <c r="C117" t="s">
        <v>277</v>
      </c>
      <c r="F117" s="2" t="s">
        <v>278</v>
      </c>
      <c r="I117" t="s">
        <v>29</v>
      </c>
      <c r="J117" s="2" t="s">
        <v>279</v>
      </c>
      <c r="K117" s="2">
        <v>4</v>
      </c>
      <c r="L117" s="2">
        <v>3</v>
      </c>
      <c r="M117" s="1"/>
      <c r="O117" t="str">
        <f>_xlfn.CONCAT("https://raw.githubusercontent.com/LaryBird12/geo-images/main/images/",Table_Master_Inventory[[#This Row],[Master Record ID]],".jpg")</f>
        <v>https://raw.githubusercontent.com/LaryBird12/geo-images/main/images/106.jpg</v>
      </c>
      <c r="P117" s="3"/>
      <c r="Q117" t="b">
        <v>1</v>
      </c>
      <c r="R117" t="b">
        <v>0</v>
      </c>
      <c r="S117" t="b">
        <v>0</v>
      </c>
      <c r="T117" t="b">
        <v>0</v>
      </c>
      <c r="U117" t="b">
        <v>0</v>
      </c>
      <c r="V117" t="b">
        <v>1</v>
      </c>
      <c r="W117" t="b">
        <v>0</v>
      </c>
    </row>
    <row r="118" spans="1:23" ht="14.25" hidden="1" x14ac:dyDescent="0.45">
      <c r="A118">
        <v>107</v>
      </c>
      <c r="B118" s="2" t="s">
        <v>280</v>
      </c>
      <c r="C118" t="s">
        <v>277</v>
      </c>
      <c r="F118" s="2"/>
      <c r="I118" t="s">
        <v>29</v>
      </c>
      <c r="J118" s="2">
        <v>1001879523</v>
      </c>
      <c r="K118" s="2" t="s">
        <v>281</v>
      </c>
      <c r="L118" s="2" t="s">
        <v>89</v>
      </c>
      <c r="M118" s="1">
        <v>14.58</v>
      </c>
      <c r="O118" t="str">
        <f>_xlfn.CONCAT("https://raw.githubusercontent.com/LaryBird12/geo-images/main/images/",Table_Master_Inventory[[#This Row],[Master Record ID]],".jpg")</f>
        <v>https://raw.githubusercontent.com/LaryBird12/geo-images/main/images/107.jpg</v>
      </c>
      <c r="P118" s="3"/>
      <c r="Q118" t="b">
        <v>1</v>
      </c>
      <c r="R118" t="b">
        <v>0</v>
      </c>
      <c r="S118" t="b">
        <v>0</v>
      </c>
      <c r="T118" t="b">
        <v>0</v>
      </c>
      <c r="U118" t="b">
        <v>0</v>
      </c>
      <c r="V118" t="b">
        <v>1</v>
      </c>
      <c r="W118" t="b">
        <v>0</v>
      </c>
    </row>
    <row r="119" spans="1:23" ht="14.25" hidden="1" x14ac:dyDescent="0.45">
      <c r="A119">
        <v>108</v>
      </c>
      <c r="B119" t="s">
        <v>282</v>
      </c>
      <c r="C119" t="s">
        <v>277</v>
      </c>
      <c r="F119" s="2" t="s">
        <v>283</v>
      </c>
      <c r="I119" t="s">
        <v>29</v>
      </c>
      <c r="J119" s="2">
        <v>267000</v>
      </c>
      <c r="K119" s="2" t="s">
        <v>284</v>
      </c>
      <c r="L119" s="2" t="s">
        <v>284</v>
      </c>
      <c r="M119" s="1">
        <v>29.97</v>
      </c>
      <c r="O119" t="str">
        <f>_xlfn.CONCAT("https://raw.githubusercontent.com/LaryBird12/geo-images/main/images/",Table_Master_Inventory[[#This Row],[Master Record ID]],".jpg")</f>
        <v>https://raw.githubusercontent.com/LaryBird12/geo-images/main/images/108.jpg</v>
      </c>
      <c r="P119" s="3"/>
      <c r="Q119" t="b">
        <v>1</v>
      </c>
      <c r="R119" t="b">
        <v>0</v>
      </c>
      <c r="S119" t="b">
        <v>0</v>
      </c>
      <c r="T119" t="b">
        <v>0</v>
      </c>
      <c r="U119" t="b">
        <v>0</v>
      </c>
      <c r="V119" t="b">
        <v>1</v>
      </c>
      <c r="W119" t="b">
        <v>0</v>
      </c>
    </row>
    <row r="120" spans="1:23" ht="14.25" hidden="1" x14ac:dyDescent="0.45">
      <c r="A120">
        <v>109</v>
      </c>
      <c r="B120" t="s">
        <v>285</v>
      </c>
      <c r="C120" t="s">
        <v>277</v>
      </c>
      <c r="F120" s="2" t="s">
        <v>286</v>
      </c>
      <c r="I120" t="s">
        <v>287</v>
      </c>
      <c r="J120" s="2" t="s">
        <v>288</v>
      </c>
      <c r="K120" s="2">
        <v>4</v>
      </c>
      <c r="L120" s="2">
        <v>4</v>
      </c>
      <c r="M120" s="1">
        <v>1.99</v>
      </c>
      <c r="O120" t="str">
        <f>_xlfn.CONCAT("https://raw.githubusercontent.com/LaryBird12/geo-images/main/images/",Table_Master_Inventory[[#This Row],[Master Record ID]],".jpg")</f>
        <v>https://raw.githubusercontent.com/LaryBird12/geo-images/main/images/109.jpg</v>
      </c>
      <c r="P120" s="3"/>
      <c r="Q120" t="b">
        <v>1</v>
      </c>
      <c r="R120" t="b">
        <v>0</v>
      </c>
      <c r="S120" t="b">
        <v>0</v>
      </c>
      <c r="T120" t="b">
        <v>0</v>
      </c>
      <c r="U120" t="b">
        <v>0</v>
      </c>
      <c r="V120" t="b">
        <v>1</v>
      </c>
      <c r="W120" t="b">
        <v>0</v>
      </c>
    </row>
    <row r="121" spans="1:23" ht="14.25" hidden="1" x14ac:dyDescent="0.45">
      <c r="A121">
        <v>110</v>
      </c>
      <c r="B121" t="s">
        <v>289</v>
      </c>
      <c r="C121" t="s">
        <v>277</v>
      </c>
      <c r="F121" s="2" t="s">
        <v>290</v>
      </c>
      <c r="I121" t="s">
        <v>29</v>
      </c>
      <c r="J121" s="2">
        <v>805513</v>
      </c>
      <c r="K121" s="2">
        <v>4</v>
      </c>
      <c r="L121" s="2">
        <v>1</v>
      </c>
      <c r="M121" s="1">
        <v>4.4800000000000004</v>
      </c>
      <c r="O121" t="str">
        <f>_xlfn.CONCAT("https://raw.githubusercontent.com/LaryBird12/geo-images/main/images/",Table_Master_Inventory[[#This Row],[Master Record ID]],".jpg")</f>
        <v>https://raw.githubusercontent.com/LaryBird12/geo-images/main/images/110.jpg</v>
      </c>
      <c r="P121" s="3"/>
      <c r="Q121" t="b">
        <v>1</v>
      </c>
      <c r="R121" t="b">
        <v>0</v>
      </c>
      <c r="S121" t="b">
        <v>0</v>
      </c>
      <c r="T121" t="b">
        <v>0</v>
      </c>
      <c r="U121" t="b">
        <v>0</v>
      </c>
      <c r="V121" t="b">
        <v>1</v>
      </c>
      <c r="W121" t="b">
        <v>0</v>
      </c>
    </row>
    <row r="122" spans="1:23" ht="14.25" hidden="1" x14ac:dyDescent="0.45">
      <c r="A122">
        <v>111</v>
      </c>
      <c r="B122" t="s">
        <v>291</v>
      </c>
      <c r="C122" t="s">
        <v>277</v>
      </c>
      <c r="F122" s="2"/>
      <c r="I122" t="s">
        <v>29</v>
      </c>
      <c r="J122" s="2">
        <v>313008958</v>
      </c>
      <c r="K122" s="2" t="s">
        <v>120</v>
      </c>
      <c r="L122" s="2" t="s">
        <v>121</v>
      </c>
      <c r="M122" s="1">
        <v>5.14</v>
      </c>
      <c r="O122" t="str">
        <f>_xlfn.CONCAT("https://raw.githubusercontent.com/LaryBird12/geo-images/main/images/",Table_Master_Inventory[[#This Row],[Master Record ID]],".jpg")</f>
        <v>https://raw.githubusercontent.com/LaryBird12/geo-images/main/images/111.jpg</v>
      </c>
      <c r="P122" s="3"/>
      <c r="Q122" t="b">
        <v>1</v>
      </c>
      <c r="R122" t="b">
        <v>0</v>
      </c>
      <c r="S122" t="b">
        <v>0</v>
      </c>
      <c r="T122" t="b">
        <v>0</v>
      </c>
      <c r="U122" t="b">
        <v>0</v>
      </c>
      <c r="V122" t="b">
        <v>1</v>
      </c>
      <c r="W122" t="b">
        <v>0</v>
      </c>
    </row>
    <row r="123" spans="1:23" ht="14.25" hidden="1" x14ac:dyDescent="0.45">
      <c r="A123">
        <v>112</v>
      </c>
      <c r="B123" t="s">
        <v>292</v>
      </c>
      <c r="C123" t="s">
        <v>277</v>
      </c>
      <c r="F123" s="2" t="s">
        <v>293</v>
      </c>
      <c r="I123" t="s">
        <v>29</v>
      </c>
      <c r="J123" s="2">
        <v>204711644</v>
      </c>
      <c r="K123" s="2">
        <v>4</v>
      </c>
      <c r="L123" s="2" t="s">
        <v>294</v>
      </c>
      <c r="M123" s="1"/>
      <c r="O123" t="str">
        <f>_xlfn.CONCAT("https://raw.githubusercontent.com/LaryBird12/geo-images/main/images/",Table_Master_Inventory[[#This Row],[Master Record ID]],".jpg")</f>
        <v>https://raw.githubusercontent.com/LaryBird12/geo-images/main/images/112.jpg</v>
      </c>
      <c r="P123" s="3"/>
      <c r="Q123" t="b">
        <v>1</v>
      </c>
      <c r="R123" t="b">
        <v>0</v>
      </c>
      <c r="S123" t="b">
        <v>0</v>
      </c>
      <c r="T123" t="b">
        <v>0</v>
      </c>
      <c r="U123" t="b">
        <v>0</v>
      </c>
      <c r="V123" t="b">
        <v>1</v>
      </c>
      <c r="W123" t="b">
        <v>0</v>
      </c>
    </row>
    <row r="124" spans="1:23" ht="14.25" hidden="1" x14ac:dyDescent="0.45">
      <c r="A124">
        <v>113</v>
      </c>
      <c r="B124" t="s">
        <v>295</v>
      </c>
      <c r="C124" t="s">
        <v>277</v>
      </c>
      <c r="F124" s="2"/>
      <c r="I124" t="s">
        <v>29</v>
      </c>
      <c r="J124" s="2">
        <v>1001546627</v>
      </c>
      <c r="K124" s="2" t="s">
        <v>284</v>
      </c>
      <c r="L124" s="2" t="s">
        <v>284</v>
      </c>
      <c r="M124" s="1">
        <v>13.98</v>
      </c>
      <c r="O124" t="str">
        <f>_xlfn.CONCAT("https://raw.githubusercontent.com/LaryBird12/geo-images/main/images/",Table_Master_Inventory[[#This Row],[Master Record ID]],".jpg")</f>
        <v>https://raw.githubusercontent.com/LaryBird12/geo-images/main/images/113.jpg</v>
      </c>
      <c r="P124" s="3"/>
      <c r="Q124" t="b">
        <v>1</v>
      </c>
      <c r="R124" t="b">
        <v>0</v>
      </c>
      <c r="S124" t="b">
        <v>0</v>
      </c>
      <c r="T124" t="b">
        <v>0</v>
      </c>
      <c r="U124" t="b">
        <v>0</v>
      </c>
      <c r="V124" t="b">
        <v>1</v>
      </c>
      <c r="W124" t="b">
        <v>0</v>
      </c>
    </row>
    <row r="125" spans="1:23" ht="14.25" hidden="1" x14ac:dyDescent="0.45">
      <c r="A125">
        <v>114</v>
      </c>
      <c r="B125" t="s">
        <v>296</v>
      </c>
      <c r="C125" t="s">
        <v>277</v>
      </c>
      <c r="F125" s="2"/>
      <c r="I125" t="s">
        <v>29</v>
      </c>
      <c r="J125" s="2">
        <v>391756</v>
      </c>
      <c r="K125" s="2" t="s">
        <v>120</v>
      </c>
      <c r="L125" s="2" t="s">
        <v>297</v>
      </c>
      <c r="M125" s="1">
        <v>0.53</v>
      </c>
      <c r="O125" t="str">
        <f>_xlfn.CONCAT("https://raw.githubusercontent.com/LaryBird12/geo-images/main/images/",Table_Master_Inventory[[#This Row],[Master Record ID]],".jpg")</f>
        <v>https://raw.githubusercontent.com/LaryBird12/geo-images/main/images/114.jpg</v>
      </c>
      <c r="P125" s="3"/>
      <c r="Q125" t="b">
        <v>1</v>
      </c>
      <c r="R125" t="b">
        <v>0</v>
      </c>
      <c r="S125" t="b">
        <v>0</v>
      </c>
      <c r="T125" t="b">
        <v>0</v>
      </c>
      <c r="U125" t="b">
        <v>0</v>
      </c>
      <c r="V125" t="b">
        <v>1</v>
      </c>
      <c r="W125" t="b">
        <v>0</v>
      </c>
    </row>
    <row r="126" spans="1:23" ht="14.25" hidden="1" x14ac:dyDescent="0.45">
      <c r="A126">
        <v>115</v>
      </c>
      <c r="B126" t="s">
        <v>298</v>
      </c>
      <c r="C126" t="s">
        <v>299</v>
      </c>
      <c r="D126" t="s">
        <v>300</v>
      </c>
      <c r="F126" s="2" t="s">
        <v>301</v>
      </c>
      <c r="I126" t="s">
        <v>40</v>
      </c>
      <c r="J126" s="2" t="s">
        <v>302</v>
      </c>
      <c r="K126" s="2">
        <v>2</v>
      </c>
      <c r="L126" s="2">
        <v>2</v>
      </c>
      <c r="M126" s="1">
        <v>62.37</v>
      </c>
      <c r="O126" t="str">
        <f>_xlfn.CONCAT("https://raw.githubusercontent.com/LaryBird12/geo-images/main/images/",Table_Master_Inventory[[#This Row],[Master Record ID]],".jpg")</f>
        <v>https://raw.githubusercontent.com/LaryBird12/geo-images/main/images/115.jpg</v>
      </c>
      <c r="P126" s="3"/>
      <c r="Q126" t="b">
        <v>1</v>
      </c>
      <c r="R126" t="b">
        <v>0</v>
      </c>
      <c r="S126" t="b">
        <v>0</v>
      </c>
      <c r="T126" t="b">
        <v>0</v>
      </c>
      <c r="U126" t="b">
        <v>0</v>
      </c>
      <c r="V126" t="b">
        <v>1</v>
      </c>
      <c r="W126" t="b">
        <v>0</v>
      </c>
    </row>
    <row r="127" spans="1:23" ht="14.25" hidden="1" x14ac:dyDescent="0.45">
      <c r="A127">
        <v>116</v>
      </c>
      <c r="B127" t="s">
        <v>303</v>
      </c>
      <c r="C127" t="s">
        <v>25</v>
      </c>
      <c r="D127" t="s">
        <v>304</v>
      </c>
      <c r="E127" t="s">
        <v>305</v>
      </c>
      <c r="F127" s="2" t="s">
        <v>306</v>
      </c>
      <c r="I127" t="s">
        <v>101</v>
      </c>
      <c r="J127" s="2" t="s">
        <v>307</v>
      </c>
      <c r="K127" s="2" t="s">
        <v>308</v>
      </c>
      <c r="L127" s="2" t="s">
        <v>309</v>
      </c>
      <c r="M127" s="1">
        <v>54.84</v>
      </c>
      <c r="O127" t="str">
        <f>_xlfn.CONCAT("https://raw.githubusercontent.com/LaryBird12/geo-images/main/images/",Table_Master_Inventory[[#This Row],[Master Record ID]],".jpg")</f>
        <v>https://raw.githubusercontent.com/LaryBird12/geo-images/main/images/116.jpg</v>
      </c>
      <c r="P127" s="3"/>
      <c r="Q127" t="b">
        <v>1</v>
      </c>
      <c r="R127" t="b">
        <v>0</v>
      </c>
      <c r="S127" t="b">
        <v>0</v>
      </c>
      <c r="T127" t="b">
        <v>0</v>
      </c>
      <c r="U127" t="b">
        <v>0</v>
      </c>
      <c r="V127" t="b">
        <v>1</v>
      </c>
      <c r="W127" t="b">
        <v>0</v>
      </c>
    </row>
    <row r="128" spans="1:23" ht="14.25" hidden="1" x14ac:dyDescent="0.45">
      <c r="A128">
        <v>117</v>
      </c>
      <c r="B128" t="s">
        <v>310</v>
      </c>
      <c r="C128" t="s">
        <v>25</v>
      </c>
      <c r="D128" t="s">
        <v>304</v>
      </c>
      <c r="E128" t="s">
        <v>299</v>
      </c>
      <c r="F128" s="2" t="s">
        <v>311</v>
      </c>
      <c r="I128" t="s">
        <v>312</v>
      </c>
      <c r="J128" s="2"/>
      <c r="K128" s="2">
        <v>20</v>
      </c>
      <c r="L128" s="2">
        <v>10</v>
      </c>
      <c r="M128" s="1"/>
      <c r="O128" t="str">
        <f>_xlfn.CONCAT("https://raw.githubusercontent.com/LaryBird12/geo-images/main/images/",Table_Master_Inventory[[#This Row],[Master Record ID]],".jpg")</f>
        <v>https://raw.githubusercontent.com/LaryBird12/geo-images/main/images/117.jpg</v>
      </c>
      <c r="P128" s="3"/>
      <c r="Q128" t="b">
        <v>1</v>
      </c>
      <c r="R128" t="b">
        <v>0</v>
      </c>
      <c r="S128" t="b">
        <v>0</v>
      </c>
      <c r="T128" t="b">
        <v>0</v>
      </c>
      <c r="U128" t="b">
        <v>0</v>
      </c>
      <c r="V128" t="b">
        <v>1</v>
      </c>
      <c r="W128" t="b">
        <v>0</v>
      </c>
    </row>
    <row r="129" spans="1:23" ht="14.25" hidden="1" x14ac:dyDescent="0.45">
      <c r="A129">
        <v>118</v>
      </c>
      <c r="B129" t="s">
        <v>313</v>
      </c>
      <c r="C129" t="s">
        <v>25</v>
      </c>
      <c r="D129" t="s">
        <v>304</v>
      </c>
      <c r="E129" t="s">
        <v>299</v>
      </c>
      <c r="F129" s="2" t="s">
        <v>306</v>
      </c>
      <c r="I129" t="s">
        <v>312</v>
      </c>
      <c r="J129" s="2" t="s">
        <v>306</v>
      </c>
      <c r="K129" s="2">
        <v>20</v>
      </c>
      <c r="L129" s="2">
        <v>10</v>
      </c>
      <c r="M129" s="1"/>
      <c r="O129" t="str">
        <f>_xlfn.CONCAT("https://raw.githubusercontent.com/LaryBird12/geo-images/main/images/",Table_Master_Inventory[[#This Row],[Master Record ID]],".jpg")</f>
        <v>https://raw.githubusercontent.com/LaryBird12/geo-images/main/images/118.jpg</v>
      </c>
      <c r="P129" s="3"/>
      <c r="Q129" t="b">
        <v>1</v>
      </c>
      <c r="R129" t="b">
        <v>0</v>
      </c>
      <c r="S129" t="b">
        <v>0</v>
      </c>
      <c r="T129" t="b">
        <v>0</v>
      </c>
      <c r="U129" t="b">
        <v>0</v>
      </c>
      <c r="V129" t="b">
        <v>1</v>
      </c>
      <c r="W129" t="b">
        <v>0</v>
      </c>
    </row>
    <row r="130" spans="1:23" ht="14.25" hidden="1" x14ac:dyDescent="0.45">
      <c r="A130">
        <v>119</v>
      </c>
      <c r="B130" t="s">
        <v>314</v>
      </c>
      <c r="C130" t="s">
        <v>25</v>
      </c>
      <c r="D130" t="s">
        <v>304</v>
      </c>
      <c r="E130" t="s">
        <v>305</v>
      </c>
      <c r="F130" s="2" t="s">
        <v>315</v>
      </c>
      <c r="I130" t="s">
        <v>101</v>
      </c>
      <c r="J130" s="2" t="s">
        <v>316</v>
      </c>
      <c r="K130" s="2" t="s">
        <v>128</v>
      </c>
      <c r="L130" s="2" t="s">
        <v>128</v>
      </c>
      <c r="M130" s="1">
        <v>7.49</v>
      </c>
      <c r="O130" t="str">
        <f>_xlfn.CONCAT("https://raw.githubusercontent.com/LaryBird12/geo-images/main/images/",Table_Master_Inventory[[#This Row],[Master Record ID]],".jpg")</f>
        <v>https://raw.githubusercontent.com/LaryBird12/geo-images/main/images/119.jpg</v>
      </c>
      <c r="P130" s="3"/>
      <c r="Q130" t="b">
        <v>1</v>
      </c>
      <c r="R130" t="b">
        <v>0</v>
      </c>
      <c r="S130" t="b">
        <v>0</v>
      </c>
      <c r="T130" t="b">
        <v>0</v>
      </c>
      <c r="U130" t="b">
        <v>0</v>
      </c>
      <c r="V130" t="b">
        <v>1</v>
      </c>
      <c r="W130" t="b">
        <v>0</v>
      </c>
    </row>
    <row r="131" spans="1:23" ht="14.25" hidden="1" x14ac:dyDescent="0.45">
      <c r="A131">
        <v>120</v>
      </c>
      <c r="B131" t="s">
        <v>317</v>
      </c>
      <c r="C131" t="s">
        <v>25</v>
      </c>
      <c r="D131" t="s">
        <v>304</v>
      </c>
      <c r="E131" t="s">
        <v>305</v>
      </c>
      <c r="F131" s="2" t="s">
        <v>318</v>
      </c>
      <c r="I131" t="s">
        <v>40</v>
      </c>
      <c r="J131" s="2">
        <v>33927</v>
      </c>
      <c r="K131" s="2" t="s">
        <v>128</v>
      </c>
      <c r="L131" s="2" t="s">
        <v>128</v>
      </c>
      <c r="M131" s="1"/>
      <c r="O131" t="str">
        <f>_xlfn.CONCAT("https://raw.githubusercontent.com/LaryBird12/geo-images/main/images/",Table_Master_Inventory[[#This Row],[Master Record ID]],".jpg")</f>
        <v>https://raw.githubusercontent.com/LaryBird12/geo-images/main/images/120.jpg</v>
      </c>
      <c r="P131" s="3"/>
      <c r="Q131" t="b">
        <v>1</v>
      </c>
      <c r="R131" t="b">
        <v>0</v>
      </c>
      <c r="S131" t="b">
        <v>0</v>
      </c>
      <c r="T131" t="b">
        <v>0</v>
      </c>
      <c r="U131" t="b">
        <v>0</v>
      </c>
      <c r="V131" t="b">
        <v>1</v>
      </c>
      <c r="W131" t="b">
        <v>0</v>
      </c>
    </row>
    <row r="132" spans="1:23" ht="14.25" hidden="1" x14ac:dyDescent="0.45">
      <c r="A132">
        <v>121</v>
      </c>
      <c r="B132" t="s">
        <v>319</v>
      </c>
      <c r="C132" t="s">
        <v>25</v>
      </c>
      <c r="D132" t="s">
        <v>304</v>
      </c>
      <c r="E132" t="s">
        <v>299</v>
      </c>
      <c r="F132" s="2" t="s">
        <v>320</v>
      </c>
      <c r="I132" t="s">
        <v>101</v>
      </c>
      <c r="J132" s="2" t="s">
        <v>321</v>
      </c>
      <c r="K132" s="2">
        <v>100</v>
      </c>
      <c r="L132" s="2">
        <v>50</v>
      </c>
      <c r="M132" s="1">
        <v>4.13</v>
      </c>
      <c r="O132" t="str">
        <f>_xlfn.CONCAT("https://raw.githubusercontent.com/LaryBird12/geo-images/main/images/",Table_Master_Inventory[[#This Row],[Master Record ID]],".jpg")</f>
        <v>https://raw.githubusercontent.com/LaryBird12/geo-images/main/images/121.jpg</v>
      </c>
      <c r="P132" s="3"/>
      <c r="Q132" t="b">
        <v>1</v>
      </c>
      <c r="R132" t="b">
        <v>0</v>
      </c>
      <c r="S132" t="b">
        <v>0</v>
      </c>
      <c r="T132" t="b">
        <v>0</v>
      </c>
      <c r="U132" t="b">
        <v>0</v>
      </c>
      <c r="V132" t="b">
        <v>1</v>
      </c>
      <c r="W132" t="b">
        <v>0</v>
      </c>
    </row>
    <row r="133" spans="1:23" ht="14.25" hidden="1" x14ac:dyDescent="0.45">
      <c r="A133">
        <v>122</v>
      </c>
      <c r="B133" t="s">
        <v>322</v>
      </c>
      <c r="C133" t="s">
        <v>25</v>
      </c>
      <c r="D133" t="s">
        <v>304</v>
      </c>
      <c r="E133" t="s">
        <v>305</v>
      </c>
      <c r="F133" s="2" t="s">
        <v>323</v>
      </c>
      <c r="I133" t="s">
        <v>101</v>
      </c>
      <c r="J133" s="2" t="s">
        <v>324</v>
      </c>
      <c r="K133" s="2" t="s">
        <v>325</v>
      </c>
      <c r="L133" s="2" t="s">
        <v>325</v>
      </c>
      <c r="M133" s="1">
        <v>0.86</v>
      </c>
      <c r="O133" t="str">
        <f>_xlfn.CONCAT("https://raw.githubusercontent.com/LaryBird12/geo-images/main/images/",Table_Master_Inventory[[#This Row],[Master Record ID]],".jpg")</f>
        <v>https://raw.githubusercontent.com/LaryBird12/geo-images/main/images/122.jpg</v>
      </c>
      <c r="P133" s="3"/>
      <c r="Q133" t="b">
        <v>1</v>
      </c>
      <c r="R133" t="b">
        <v>0</v>
      </c>
      <c r="S133" t="b">
        <v>0</v>
      </c>
      <c r="T133" t="b">
        <v>0</v>
      </c>
      <c r="U133" t="b">
        <v>0</v>
      </c>
      <c r="V133" t="b">
        <v>1</v>
      </c>
      <c r="W133" t="b">
        <v>0</v>
      </c>
    </row>
    <row r="134" spans="1:23" ht="14.25" hidden="1" x14ac:dyDescent="0.45">
      <c r="A134">
        <v>123</v>
      </c>
      <c r="B134" t="s">
        <v>326</v>
      </c>
      <c r="C134" t="s">
        <v>25</v>
      </c>
      <c r="D134" t="s">
        <v>26</v>
      </c>
      <c r="E134" t="s">
        <v>327</v>
      </c>
      <c r="F134" s="2" t="s">
        <v>328</v>
      </c>
      <c r="I134" t="s">
        <v>29</v>
      </c>
      <c r="J134" s="2">
        <v>531738</v>
      </c>
      <c r="K134" s="2">
        <v>5</v>
      </c>
      <c r="L134" s="2">
        <v>5</v>
      </c>
      <c r="M134" s="1">
        <v>7.76</v>
      </c>
      <c r="O134" t="str">
        <f>_xlfn.CONCAT("https://raw.githubusercontent.com/LaryBird12/geo-images/main/images/",Table_Master_Inventory[[#This Row],[Master Record ID]],".jpg")</f>
        <v>https://raw.githubusercontent.com/LaryBird12/geo-images/main/images/123.jpg</v>
      </c>
      <c r="P134" s="3"/>
      <c r="Q134" t="b">
        <v>1</v>
      </c>
      <c r="R134" t="b">
        <v>0</v>
      </c>
      <c r="S134" t="b">
        <v>0</v>
      </c>
      <c r="T134" t="b">
        <v>0</v>
      </c>
      <c r="U134" t="b">
        <v>0</v>
      </c>
      <c r="V134" t="b">
        <v>1</v>
      </c>
      <c r="W134" t="b">
        <v>0</v>
      </c>
    </row>
    <row r="135" spans="1:23" ht="14.25" hidden="1" x14ac:dyDescent="0.45">
      <c r="A135">
        <v>124</v>
      </c>
      <c r="B135" t="s">
        <v>329</v>
      </c>
      <c r="C135" t="s">
        <v>25</v>
      </c>
      <c r="D135" t="s">
        <v>26</v>
      </c>
      <c r="E135" t="s">
        <v>327</v>
      </c>
      <c r="F135" s="2" t="s">
        <v>330</v>
      </c>
      <c r="I135" t="s">
        <v>29</v>
      </c>
      <c r="J135" s="2">
        <v>532815</v>
      </c>
      <c r="K135" s="2">
        <v>5</v>
      </c>
      <c r="L135" s="2">
        <v>5</v>
      </c>
      <c r="M135" s="1">
        <v>18.87</v>
      </c>
      <c r="O135" t="str">
        <f>_xlfn.CONCAT("https://raw.githubusercontent.com/LaryBird12/geo-images/main/images/",Table_Master_Inventory[[#This Row],[Master Record ID]],".jpg")</f>
        <v>https://raw.githubusercontent.com/LaryBird12/geo-images/main/images/124.jpg</v>
      </c>
      <c r="P135" s="3"/>
      <c r="Q135" t="b">
        <v>1</v>
      </c>
      <c r="R135" t="b">
        <v>0</v>
      </c>
      <c r="S135" t="b">
        <v>0</v>
      </c>
      <c r="T135" t="b">
        <v>0</v>
      </c>
      <c r="U135" t="b">
        <v>0</v>
      </c>
      <c r="V135" t="b">
        <v>1</v>
      </c>
      <c r="W135" t="b">
        <v>0</v>
      </c>
    </row>
    <row r="136" spans="1:23" ht="14.25" hidden="1" x14ac:dyDescent="0.45">
      <c r="A136">
        <v>125</v>
      </c>
      <c r="B136" t="s">
        <v>331</v>
      </c>
      <c r="C136" t="s">
        <v>25</v>
      </c>
      <c r="D136" t="s">
        <v>26</v>
      </c>
      <c r="E136" t="s">
        <v>327</v>
      </c>
      <c r="F136" s="2" t="s">
        <v>332</v>
      </c>
      <c r="I136" t="s">
        <v>29</v>
      </c>
      <c r="J136" s="2" t="s">
        <v>333</v>
      </c>
      <c r="K136" s="2">
        <v>10</v>
      </c>
      <c r="L136" s="2">
        <v>10</v>
      </c>
      <c r="M136" s="1">
        <v>18.98</v>
      </c>
      <c r="O136" t="str">
        <f>_xlfn.CONCAT("https://raw.githubusercontent.com/LaryBird12/geo-images/main/images/",Table_Master_Inventory[[#This Row],[Master Record ID]],".jpg")</f>
        <v>https://raw.githubusercontent.com/LaryBird12/geo-images/main/images/125.jpg</v>
      </c>
      <c r="P136" s="3"/>
      <c r="Q136" t="b">
        <v>1</v>
      </c>
      <c r="R136" t="b">
        <v>0</v>
      </c>
      <c r="S136" t="b">
        <v>0</v>
      </c>
      <c r="T136" t="b">
        <v>0</v>
      </c>
      <c r="U136" t="b">
        <v>0</v>
      </c>
      <c r="V136" t="b">
        <v>1</v>
      </c>
      <c r="W136" t="b">
        <v>0</v>
      </c>
    </row>
    <row r="137" spans="1:23" ht="14.25" hidden="1" x14ac:dyDescent="0.45">
      <c r="A137">
        <v>126</v>
      </c>
      <c r="B137" t="s">
        <v>334</v>
      </c>
      <c r="C137" t="s">
        <v>25</v>
      </c>
      <c r="D137" t="s">
        <v>26</v>
      </c>
      <c r="E137" t="s">
        <v>327</v>
      </c>
      <c r="F137" s="2" t="s">
        <v>37</v>
      </c>
      <c r="I137" t="s">
        <v>29</v>
      </c>
      <c r="J137" s="2" t="s">
        <v>335</v>
      </c>
      <c r="K137" s="2">
        <v>5</v>
      </c>
      <c r="L137" s="2">
        <v>5</v>
      </c>
      <c r="M137" s="1">
        <v>76</v>
      </c>
      <c r="O137" t="str">
        <f>_xlfn.CONCAT("https://raw.githubusercontent.com/LaryBird12/geo-images/main/images/",Table_Master_Inventory[[#This Row],[Master Record ID]],".jpg")</f>
        <v>https://raw.githubusercontent.com/LaryBird12/geo-images/main/images/126.jpg</v>
      </c>
      <c r="P137" s="3"/>
      <c r="Q137" t="b">
        <v>1</v>
      </c>
      <c r="R137" t="b">
        <v>0</v>
      </c>
      <c r="S137" t="b">
        <v>0</v>
      </c>
      <c r="T137" t="b">
        <v>0</v>
      </c>
      <c r="U137" t="b">
        <v>0</v>
      </c>
      <c r="V137" t="b">
        <v>1</v>
      </c>
      <c r="W137" t="b">
        <v>0</v>
      </c>
    </row>
    <row r="138" spans="1:23" ht="14.25" hidden="1" x14ac:dyDescent="0.45">
      <c r="A138">
        <v>127</v>
      </c>
      <c r="B138" t="s">
        <v>336</v>
      </c>
      <c r="C138" t="s">
        <v>25</v>
      </c>
      <c r="D138" t="s">
        <v>26</v>
      </c>
      <c r="E138" t="s">
        <v>337</v>
      </c>
      <c r="F138" s="2" t="s">
        <v>338</v>
      </c>
      <c r="I138" t="s">
        <v>29</v>
      </c>
      <c r="J138" s="2" t="s">
        <v>339</v>
      </c>
      <c r="K138" s="2">
        <v>4</v>
      </c>
      <c r="L138" s="2">
        <v>4</v>
      </c>
      <c r="M138" s="1">
        <v>0.98</v>
      </c>
      <c r="O138" t="str">
        <f>_xlfn.CONCAT("https://raw.githubusercontent.com/LaryBird12/geo-images/main/images/",Table_Master_Inventory[[#This Row],[Master Record ID]],".jpg")</f>
        <v>https://raw.githubusercontent.com/LaryBird12/geo-images/main/images/127.jpg</v>
      </c>
      <c r="P138" s="3"/>
      <c r="Q138" t="b">
        <v>1</v>
      </c>
      <c r="R138" t="b">
        <v>0</v>
      </c>
      <c r="S138" t="b">
        <v>0</v>
      </c>
      <c r="T138" t="b">
        <v>0</v>
      </c>
      <c r="U138" t="b">
        <v>0</v>
      </c>
      <c r="V138" t="b">
        <v>1</v>
      </c>
      <c r="W138" t="b">
        <v>0</v>
      </c>
    </row>
    <row r="139" spans="1:23" ht="14.25" hidden="1" x14ac:dyDescent="0.45">
      <c r="A139">
        <v>128</v>
      </c>
      <c r="B139" t="s">
        <v>340</v>
      </c>
      <c r="C139" t="s">
        <v>25</v>
      </c>
      <c r="D139" t="s">
        <v>26</v>
      </c>
      <c r="E139" t="s">
        <v>337</v>
      </c>
      <c r="F139" s="2" t="s">
        <v>341</v>
      </c>
      <c r="I139" t="s">
        <v>29</v>
      </c>
      <c r="J139" s="2">
        <v>876793</v>
      </c>
      <c r="K139" s="2">
        <v>4</v>
      </c>
      <c r="L139" s="2">
        <v>4</v>
      </c>
      <c r="M139" s="1">
        <v>0.98</v>
      </c>
      <c r="O139" t="str">
        <f>_xlfn.CONCAT("https://raw.githubusercontent.com/LaryBird12/geo-images/main/images/",Table_Master_Inventory[[#This Row],[Master Record ID]],".jpg")</f>
        <v>https://raw.githubusercontent.com/LaryBird12/geo-images/main/images/128.jpg</v>
      </c>
      <c r="P139" s="3"/>
      <c r="Q139" t="b">
        <v>1</v>
      </c>
      <c r="R139" t="b">
        <v>0</v>
      </c>
      <c r="S139" t="b">
        <v>0</v>
      </c>
      <c r="T139" t="b">
        <v>0</v>
      </c>
      <c r="U139" t="b">
        <v>0</v>
      </c>
      <c r="V139" t="b">
        <v>1</v>
      </c>
      <c r="W139" t="b">
        <v>0</v>
      </c>
    </row>
    <row r="140" spans="1:23" ht="14.25" hidden="1" x14ac:dyDescent="0.45">
      <c r="A140">
        <v>129</v>
      </c>
      <c r="B140" t="s">
        <v>342</v>
      </c>
      <c r="C140" t="s">
        <v>25</v>
      </c>
      <c r="D140" t="s">
        <v>26</v>
      </c>
      <c r="E140" t="s">
        <v>337</v>
      </c>
      <c r="F140" s="2" t="s">
        <v>343</v>
      </c>
      <c r="I140" t="s">
        <v>29</v>
      </c>
      <c r="J140" s="2" t="s">
        <v>344</v>
      </c>
      <c r="K140" s="2">
        <v>4</v>
      </c>
      <c r="L140" s="2">
        <v>4</v>
      </c>
      <c r="M140" s="1">
        <v>1.78</v>
      </c>
      <c r="O140" t="str">
        <f>_xlfn.CONCAT("https://raw.githubusercontent.com/LaryBird12/geo-images/main/images/",Table_Master_Inventory[[#This Row],[Master Record ID]],".jpg")</f>
        <v>https://raw.githubusercontent.com/LaryBird12/geo-images/main/images/129.jpg</v>
      </c>
      <c r="P140" s="3"/>
      <c r="Q140" t="b">
        <v>1</v>
      </c>
      <c r="R140" t="b">
        <v>0</v>
      </c>
      <c r="S140" t="b">
        <v>0</v>
      </c>
      <c r="T140" t="b">
        <v>0</v>
      </c>
      <c r="U140" t="b">
        <v>0</v>
      </c>
      <c r="V140" t="b">
        <v>1</v>
      </c>
      <c r="W140" t="b">
        <v>0</v>
      </c>
    </row>
    <row r="141" spans="1:23" ht="14.25" hidden="1" x14ac:dyDescent="0.45">
      <c r="A141">
        <v>130</v>
      </c>
      <c r="B141" t="s">
        <v>345</v>
      </c>
      <c r="C141" t="s">
        <v>25</v>
      </c>
      <c r="D141" t="s">
        <v>26</v>
      </c>
      <c r="E141" t="s">
        <v>337</v>
      </c>
      <c r="F141" s="2" t="s">
        <v>341</v>
      </c>
      <c r="I141" t="s">
        <v>29</v>
      </c>
      <c r="J141" s="2">
        <v>434981</v>
      </c>
      <c r="K141" s="2">
        <v>4</v>
      </c>
      <c r="L141" s="2">
        <v>4</v>
      </c>
      <c r="M141" s="1">
        <v>3.41</v>
      </c>
      <c r="O141" t="str">
        <f>_xlfn.CONCAT("https://raw.githubusercontent.com/LaryBird12/geo-images/main/images/",Table_Master_Inventory[[#This Row],[Master Record ID]],".jpg")</f>
        <v>https://raw.githubusercontent.com/LaryBird12/geo-images/main/images/130.jpg</v>
      </c>
      <c r="P141" s="3"/>
      <c r="Q141" t="b">
        <v>1</v>
      </c>
      <c r="R141" t="b">
        <v>0</v>
      </c>
      <c r="S141" t="b">
        <v>0</v>
      </c>
      <c r="T141" t="b">
        <v>0</v>
      </c>
      <c r="U141" t="b">
        <v>0</v>
      </c>
      <c r="V141" t="b">
        <v>1</v>
      </c>
      <c r="W141" t="b">
        <v>0</v>
      </c>
    </row>
    <row r="142" spans="1:23" ht="14.25" hidden="1" x14ac:dyDescent="0.45">
      <c r="A142">
        <v>131</v>
      </c>
      <c r="B142" t="s">
        <v>346</v>
      </c>
      <c r="C142" t="s">
        <v>25</v>
      </c>
      <c r="D142" t="s">
        <v>26</v>
      </c>
      <c r="E142" t="s">
        <v>337</v>
      </c>
      <c r="F142" s="2" t="s">
        <v>328</v>
      </c>
      <c r="I142" t="s">
        <v>29</v>
      </c>
      <c r="J142" s="2">
        <v>1001370815</v>
      </c>
      <c r="K142" s="2">
        <v>6</v>
      </c>
      <c r="L142" s="2">
        <v>4</v>
      </c>
      <c r="M142" s="1">
        <v>12.07</v>
      </c>
      <c r="O142" t="str">
        <f>_xlfn.CONCAT("https://raw.githubusercontent.com/LaryBird12/geo-images/main/images/",Table_Master_Inventory[[#This Row],[Master Record ID]],".jpg")</f>
        <v>https://raw.githubusercontent.com/LaryBird12/geo-images/main/images/131.jpg</v>
      </c>
      <c r="P142" s="3"/>
      <c r="Q142" t="b">
        <v>1</v>
      </c>
      <c r="R142" t="b">
        <v>0</v>
      </c>
      <c r="S142" t="b">
        <v>0</v>
      </c>
      <c r="T142" t="b">
        <v>0</v>
      </c>
      <c r="U142" t="b">
        <v>0</v>
      </c>
      <c r="V142" t="b">
        <v>1</v>
      </c>
      <c r="W142" t="b">
        <v>0</v>
      </c>
    </row>
    <row r="143" spans="1:23" ht="14.25" hidden="1" x14ac:dyDescent="0.45">
      <c r="A143">
        <v>132</v>
      </c>
      <c r="B143" t="s">
        <v>347</v>
      </c>
      <c r="C143" t="s">
        <v>25</v>
      </c>
      <c r="D143" t="s">
        <v>26</v>
      </c>
      <c r="E143" t="s">
        <v>337</v>
      </c>
      <c r="F143" s="2" t="s">
        <v>341</v>
      </c>
      <c r="I143" t="s">
        <v>29</v>
      </c>
      <c r="J143" s="2">
        <v>202056256</v>
      </c>
      <c r="K143" s="2">
        <v>6</v>
      </c>
      <c r="L143" s="2">
        <v>4</v>
      </c>
      <c r="M143" s="1">
        <v>4.18</v>
      </c>
      <c r="O143" t="str">
        <f>_xlfn.CONCAT("https://raw.githubusercontent.com/LaryBird12/geo-images/main/images/",Table_Master_Inventory[[#This Row],[Master Record ID]],".jpg")</f>
        <v>https://raw.githubusercontent.com/LaryBird12/geo-images/main/images/132.jpg</v>
      </c>
      <c r="P143" s="3"/>
      <c r="Q143" t="b">
        <v>1</v>
      </c>
      <c r="R143" t="b">
        <v>0</v>
      </c>
      <c r="S143" t="b">
        <v>0</v>
      </c>
      <c r="T143" t="b">
        <v>0</v>
      </c>
      <c r="U143" t="b">
        <v>0</v>
      </c>
      <c r="V143" t="b">
        <v>1</v>
      </c>
      <c r="W143" t="b">
        <v>0</v>
      </c>
    </row>
    <row r="144" spans="1:23" ht="14.25" hidden="1" x14ac:dyDescent="0.45">
      <c r="A144">
        <v>133</v>
      </c>
      <c r="B144" t="s">
        <v>348</v>
      </c>
      <c r="C144" t="s">
        <v>25</v>
      </c>
      <c r="D144" t="s">
        <v>26</v>
      </c>
      <c r="E144" t="s">
        <v>337</v>
      </c>
      <c r="F144" s="2" t="s">
        <v>328</v>
      </c>
      <c r="I144" t="s">
        <v>29</v>
      </c>
      <c r="J144" s="2">
        <v>100026991</v>
      </c>
      <c r="K144" s="2">
        <v>4</v>
      </c>
      <c r="L144" s="2">
        <v>4</v>
      </c>
      <c r="M144" s="1">
        <v>0.88</v>
      </c>
      <c r="O144" t="str">
        <f>_xlfn.CONCAT("https://raw.githubusercontent.com/LaryBird12/geo-images/main/images/",Table_Master_Inventory[[#This Row],[Master Record ID]],".jpg")</f>
        <v>https://raw.githubusercontent.com/LaryBird12/geo-images/main/images/133.jpg</v>
      </c>
      <c r="P144" s="3"/>
      <c r="Q144" t="b">
        <v>1</v>
      </c>
      <c r="R144" t="b">
        <v>0</v>
      </c>
      <c r="S144" t="b">
        <v>0</v>
      </c>
      <c r="T144" t="b">
        <v>0</v>
      </c>
      <c r="U144" t="b">
        <v>0</v>
      </c>
      <c r="V144" t="b">
        <v>1</v>
      </c>
      <c r="W144" t="b">
        <v>0</v>
      </c>
    </row>
    <row r="145" spans="1:23" ht="14.25" hidden="1" x14ac:dyDescent="0.45">
      <c r="A145">
        <v>134</v>
      </c>
      <c r="B145" t="s">
        <v>349</v>
      </c>
      <c r="C145" t="s">
        <v>25</v>
      </c>
      <c r="D145" t="s">
        <v>26</v>
      </c>
      <c r="E145" t="s">
        <v>337</v>
      </c>
      <c r="F145" s="2" t="s">
        <v>338</v>
      </c>
      <c r="I145" t="s">
        <v>29</v>
      </c>
      <c r="J145" s="2">
        <v>101249</v>
      </c>
      <c r="K145" s="2">
        <v>4</v>
      </c>
      <c r="L145" s="2">
        <v>4</v>
      </c>
      <c r="M145" s="1">
        <v>1.27</v>
      </c>
      <c r="O145" t="str">
        <f>_xlfn.CONCAT("https://raw.githubusercontent.com/LaryBird12/geo-images/main/images/",Table_Master_Inventory[[#This Row],[Master Record ID]],".jpg")</f>
        <v>https://raw.githubusercontent.com/LaryBird12/geo-images/main/images/134.jpg</v>
      </c>
      <c r="P145" s="3"/>
      <c r="Q145" t="b">
        <v>1</v>
      </c>
      <c r="R145" t="b">
        <v>0</v>
      </c>
      <c r="S145" t="b">
        <v>0</v>
      </c>
      <c r="T145" t="b">
        <v>0</v>
      </c>
      <c r="U145" t="b">
        <v>0</v>
      </c>
      <c r="V145" t="b">
        <v>1</v>
      </c>
      <c r="W145" t="b">
        <v>0</v>
      </c>
    </row>
    <row r="146" spans="1:23" ht="14.25" hidden="1" x14ac:dyDescent="0.45">
      <c r="A146">
        <v>135</v>
      </c>
      <c r="B146" t="s">
        <v>350</v>
      </c>
      <c r="C146" t="s">
        <v>25</v>
      </c>
      <c r="D146" t="s">
        <v>26</v>
      </c>
      <c r="E146" t="s">
        <v>351</v>
      </c>
      <c r="F146" s="2" t="s">
        <v>352</v>
      </c>
      <c r="I146" t="s">
        <v>353</v>
      </c>
      <c r="J146" s="2">
        <v>615344</v>
      </c>
      <c r="K146" s="2" t="s">
        <v>354</v>
      </c>
      <c r="L146" s="2" t="s">
        <v>355</v>
      </c>
      <c r="M146" s="1">
        <v>0.76</v>
      </c>
      <c r="N146" t="s">
        <v>356</v>
      </c>
      <c r="O146" t="str">
        <f>_xlfn.CONCAT("https://raw.githubusercontent.com/LaryBird12/geo-images/main/images/",Table_Master_Inventory[[#This Row],[Master Record ID]],".jpg")</f>
        <v>https://raw.githubusercontent.com/LaryBird12/geo-images/main/images/135.jpg</v>
      </c>
      <c r="P146" s="3"/>
      <c r="Q146" t="b">
        <v>1</v>
      </c>
      <c r="R146" t="b">
        <v>0</v>
      </c>
      <c r="S146" t="b">
        <v>0</v>
      </c>
      <c r="T146" t="b">
        <v>0</v>
      </c>
      <c r="U146" t="b">
        <v>0</v>
      </c>
      <c r="V146" t="b">
        <v>1</v>
      </c>
      <c r="W146" t="b">
        <v>0</v>
      </c>
    </row>
    <row r="147" spans="1:23" ht="14.25" hidden="1" x14ac:dyDescent="0.45">
      <c r="A147">
        <v>136</v>
      </c>
      <c r="B147" t="s">
        <v>357</v>
      </c>
      <c r="C147" t="s">
        <v>25</v>
      </c>
      <c r="D147" t="s">
        <v>26</v>
      </c>
      <c r="E147" t="s">
        <v>351</v>
      </c>
      <c r="F147" s="2" t="s">
        <v>352</v>
      </c>
      <c r="I147" t="s">
        <v>353</v>
      </c>
      <c r="J147" s="2">
        <v>72135</v>
      </c>
      <c r="K147" s="2" t="s">
        <v>354</v>
      </c>
      <c r="L147" s="2" t="s">
        <v>355</v>
      </c>
      <c r="M147" s="1">
        <v>0.76</v>
      </c>
      <c r="N147" t="s">
        <v>356</v>
      </c>
      <c r="O147" t="str">
        <f>_xlfn.CONCAT("https://raw.githubusercontent.com/LaryBird12/geo-images/main/images/",Table_Master_Inventory[[#This Row],[Master Record ID]],".jpg")</f>
        <v>https://raw.githubusercontent.com/LaryBird12/geo-images/main/images/136.jpg</v>
      </c>
      <c r="P147" s="3"/>
      <c r="Q147" t="b">
        <v>1</v>
      </c>
      <c r="R147" t="b">
        <v>0</v>
      </c>
      <c r="S147" t="b">
        <v>0</v>
      </c>
      <c r="T147" t="b">
        <v>0</v>
      </c>
      <c r="U147" t="b">
        <v>0</v>
      </c>
      <c r="V147" t="b">
        <v>1</v>
      </c>
      <c r="W147" t="b">
        <v>0</v>
      </c>
    </row>
    <row r="148" spans="1:23" ht="14.25" hidden="1" x14ac:dyDescent="0.45">
      <c r="A148">
        <v>137</v>
      </c>
      <c r="B148" t="s">
        <v>358</v>
      </c>
      <c r="C148" t="s">
        <v>25</v>
      </c>
      <c r="D148" t="s">
        <v>26</v>
      </c>
      <c r="E148" t="s">
        <v>351</v>
      </c>
      <c r="F148" s="2" t="s">
        <v>359</v>
      </c>
      <c r="I148" t="s">
        <v>353</v>
      </c>
      <c r="J148" s="2">
        <v>614792</v>
      </c>
      <c r="K148" s="2" t="s">
        <v>354</v>
      </c>
      <c r="L148" s="2" t="s">
        <v>355</v>
      </c>
      <c r="M148" s="1">
        <v>0.2</v>
      </c>
      <c r="N148" t="s">
        <v>356</v>
      </c>
      <c r="O148" t="str">
        <f>_xlfn.CONCAT("https://raw.githubusercontent.com/LaryBird12/geo-images/main/images/",Table_Master_Inventory[[#This Row],[Master Record ID]],".jpg")</f>
        <v>https://raw.githubusercontent.com/LaryBird12/geo-images/main/images/137.jpg</v>
      </c>
      <c r="P148" s="3"/>
      <c r="Q148" t="b">
        <v>1</v>
      </c>
      <c r="R148" t="b">
        <v>0</v>
      </c>
      <c r="S148" t="b">
        <v>0</v>
      </c>
      <c r="T148" t="b">
        <v>0</v>
      </c>
      <c r="U148" t="b">
        <v>0</v>
      </c>
      <c r="V148" t="b">
        <v>1</v>
      </c>
      <c r="W148" t="b">
        <v>0</v>
      </c>
    </row>
    <row r="149" spans="1:23" ht="14.25" hidden="1" x14ac:dyDescent="0.45">
      <c r="A149">
        <v>138</v>
      </c>
      <c r="B149" t="s">
        <v>360</v>
      </c>
      <c r="C149" t="s">
        <v>25</v>
      </c>
      <c r="D149" t="s">
        <v>26</v>
      </c>
      <c r="E149" t="s">
        <v>351</v>
      </c>
      <c r="F149" s="2" t="s">
        <v>361</v>
      </c>
      <c r="I149" t="s">
        <v>40</v>
      </c>
      <c r="J149" s="2" t="s">
        <v>362</v>
      </c>
      <c r="K149" s="2" t="s">
        <v>363</v>
      </c>
      <c r="L149" s="2" t="s">
        <v>363</v>
      </c>
      <c r="M149" s="1">
        <v>0.96</v>
      </c>
      <c r="N149" t="s">
        <v>356</v>
      </c>
      <c r="O149" t="str">
        <f>_xlfn.CONCAT("https://raw.githubusercontent.com/LaryBird12/geo-images/main/images/",Table_Master_Inventory[[#This Row],[Master Record ID]],".jpg")</f>
        <v>https://raw.githubusercontent.com/LaryBird12/geo-images/main/images/138.jpg</v>
      </c>
      <c r="P149" s="3"/>
      <c r="Q149" t="b">
        <v>1</v>
      </c>
      <c r="R149" t="b">
        <v>0</v>
      </c>
      <c r="S149" t="b">
        <v>0</v>
      </c>
      <c r="T149" t="b">
        <v>0</v>
      </c>
      <c r="U149" t="b">
        <v>0</v>
      </c>
      <c r="V149" t="b">
        <v>1</v>
      </c>
      <c r="W149" t="b">
        <v>0</v>
      </c>
    </row>
    <row r="150" spans="1:23" ht="14.25" hidden="1" x14ac:dyDescent="0.45">
      <c r="A150">
        <v>139</v>
      </c>
      <c r="B150" t="s">
        <v>364</v>
      </c>
      <c r="C150" t="s">
        <v>25</v>
      </c>
      <c r="D150" t="s">
        <v>26</v>
      </c>
      <c r="E150" t="s">
        <v>351</v>
      </c>
      <c r="F150" s="2" t="s">
        <v>365</v>
      </c>
      <c r="I150" t="s">
        <v>29</v>
      </c>
      <c r="J150" s="2">
        <v>455875</v>
      </c>
      <c r="K150" s="2" t="s">
        <v>363</v>
      </c>
      <c r="L150" s="2" t="s">
        <v>363</v>
      </c>
      <c r="M150" s="1">
        <v>1.89</v>
      </c>
      <c r="N150" t="s">
        <v>356</v>
      </c>
      <c r="O150" t="str">
        <f>_xlfn.CONCAT("https://raw.githubusercontent.com/LaryBird12/geo-images/main/images/",Table_Master_Inventory[[#This Row],[Master Record ID]],".jpg")</f>
        <v>https://raw.githubusercontent.com/LaryBird12/geo-images/main/images/139.jpg</v>
      </c>
      <c r="P150" s="3"/>
      <c r="Q150" t="b">
        <v>1</v>
      </c>
      <c r="R150" t="b">
        <v>0</v>
      </c>
      <c r="S150" t="b">
        <v>0</v>
      </c>
      <c r="T150" t="b">
        <v>0</v>
      </c>
      <c r="U150" t="b">
        <v>0</v>
      </c>
      <c r="V150" t="b">
        <v>1</v>
      </c>
      <c r="W150" t="b">
        <v>0</v>
      </c>
    </row>
    <row r="151" spans="1:23" ht="14.25" hidden="1" x14ac:dyDescent="0.45">
      <c r="A151">
        <v>140</v>
      </c>
      <c r="B151" t="s">
        <v>366</v>
      </c>
      <c r="C151" t="s">
        <v>25</v>
      </c>
      <c r="D151" t="s">
        <v>26</v>
      </c>
      <c r="E151" t="s">
        <v>351</v>
      </c>
      <c r="F151" s="2" t="s">
        <v>367</v>
      </c>
      <c r="I151" t="s">
        <v>29</v>
      </c>
      <c r="J151" s="2">
        <v>68579201</v>
      </c>
      <c r="K151" s="2" t="s">
        <v>363</v>
      </c>
      <c r="L151" s="2" t="s">
        <v>363</v>
      </c>
      <c r="M151" s="1">
        <v>0.62</v>
      </c>
      <c r="N151" t="s">
        <v>356</v>
      </c>
      <c r="O151" t="str">
        <f>_xlfn.CONCAT("https://raw.githubusercontent.com/LaryBird12/geo-images/main/images/",Table_Master_Inventory[[#This Row],[Master Record ID]],".jpg")</f>
        <v>https://raw.githubusercontent.com/LaryBird12/geo-images/main/images/140.jpg</v>
      </c>
      <c r="P151" s="3"/>
      <c r="Q151" t="b">
        <v>1</v>
      </c>
      <c r="R151" t="b">
        <v>0</v>
      </c>
      <c r="S151" t="b">
        <v>0</v>
      </c>
      <c r="T151" t="b">
        <v>0</v>
      </c>
      <c r="U151" t="b">
        <v>0</v>
      </c>
      <c r="V151" t="b">
        <v>1</v>
      </c>
      <c r="W151" t="b">
        <v>0</v>
      </c>
    </row>
    <row r="152" spans="1:23" ht="14.25" hidden="1" x14ac:dyDescent="0.45">
      <c r="A152">
        <v>141</v>
      </c>
      <c r="B152" t="s">
        <v>368</v>
      </c>
      <c r="C152" t="s">
        <v>25</v>
      </c>
      <c r="D152" t="s">
        <v>26</v>
      </c>
      <c r="E152" t="s">
        <v>351</v>
      </c>
      <c r="F152" s="2" t="s">
        <v>369</v>
      </c>
      <c r="I152" t="s">
        <v>40</v>
      </c>
      <c r="J152" s="2">
        <v>47104807</v>
      </c>
      <c r="K152" s="2" t="s">
        <v>363</v>
      </c>
      <c r="L152" s="2" t="s">
        <v>363</v>
      </c>
      <c r="M152" s="1">
        <v>0.11</v>
      </c>
      <c r="N152" t="s">
        <v>356</v>
      </c>
      <c r="O152" t="str">
        <f>_xlfn.CONCAT("https://raw.githubusercontent.com/LaryBird12/geo-images/main/images/",Table_Master_Inventory[[#This Row],[Master Record ID]],".jpg")</f>
        <v>https://raw.githubusercontent.com/LaryBird12/geo-images/main/images/141.jpg</v>
      </c>
      <c r="P152" s="3"/>
      <c r="Q152" t="b">
        <v>1</v>
      </c>
      <c r="R152" t="b">
        <v>0</v>
      </c>
      <c r="S152" t="b">
        <v>0</v>
      </c>
      <c r="T152" t="b">
        <v>0</v>
      </c>
      <c r="U152" t="b">
        <v>0</v>
      </c>
      <c r="V152" t="b">
        <v>1</v>
      </c>
      <c r="W152" t="b">
        <v>0</v>
      </c>
    </row>
    <row r="153" spans="1:23" ht="14.25" hidden="1" x14ac:dyDescent="0.45">
      <c r="A153">
        <v>142</v>
      </c>
      <c r="B153" t="s">
        <v>370</v>
      </c>
      <c r="C153" t="s">
        <v>25</v>
      </c>
      <c r="D153" t="s">
        <v>26</v>
      </c>
      <c r="E153" t="s">
        <v>351</v>
      </c>
      <c r="F153" s="2" t="s">
        <v>371</v>
      </c>
      <c r="I153" t="s">
        <v>40</v>
      </c>
      <c r="J153" s="2">
        <v>47120307</v>
      </c>
      <c r="K153" s="2" t="s">
        <v>363</v>
      </c>
      <c r="L153" s="2" t="s">
        <v>363</v>
      </c>
      <c r="M153" s="1">
        <v>0.23</v>
      </c>
      <c r="N153" t="s">
        <v>356</v>
      </c>
      <c r="O153" t="str">
        <f>_xlfn.CONCAT("https://raw.githubusercontent.com/LaryBird12/geo-images/main/images/",Table_Master_Inventory[[#This Row],[Master Record ID]],".jpg")</f>
        <v>https://raw.githubusercontent.com/LaryBird12/geo-images/main/images/142.jpg</v>
      </c>
      <c r="P153" s="3"/>
      <c r="Q153" t="b">
        <v>1</v>
      </c>
      <c r="R153" t="b">
        <v>0</v>
      </c>
      <c r="S153" t="b">
        <v>0</v>
      </c>
      <c r="T153" t="b">
        <v>0</v>
      </c>
      <c r="U153" t="b">
        <v>0</v>
      </c>
      <c r="V153" t="b">
        <v>1</v>
      </c>
      <c r="W153" t="b">
        <v>0</v>
      </c>
    </row>
    <row r="154" spans="1:23" ht="14.25" hidden="1" x14ac:dyDescent="0.45">
      <c r="A154">
        <v>143</v>
      </c>
      <c r="B154" t="s">
        <v>372</v>
      </c>
      <c r="C154" t="s">
        <v>25</v>
      </c>
      <c r="D154" t="s">
        <v>26</v>
      </c>
      <c r="E154" t="s">
        <v>351</v>
      </c>
      <c r="F154" s="2" t="s">
        <v>373</v>
      </c>
      <c r="I154" t="s">
        <v>40</v>
      </c>
      <c r="J154" s="2">
        <v>47140307</v>
      </c>
      <c r="K154" s="2" t="s">
        <v>363</v>
      </c>
      <c r="L154" s="2" t="s">
        <v>363</v>
      </c>
      <c r="M154" s="1">
        <v>0.33</v>
      </c>
      <c r="N154" t="s">
        <v>356</v>
      </c>
      <c r="O154" t="str">
        <f>_xlfn.CONCAT("https://raw.githubusercontent.com/LaryBird12/geo-images/main/images/",Table_Master_Inventory[[#This Row],[Master Record ID]],".jpg")</f>
        <v>https://raw.githubusercontent.com/LaryBird12/geo-images/main/images/143.jpg</v>
      </c>
      <c r="P154" s="3"/>
      <c r="Q154" t="b">
        <v>1</v>
      </c>
      <c r="R154" t="b">
        <v>0</v>
      </c>
      <c r="S154" t="b">
        <v>0</v>
      </c>
      <c r="T154" t="b">
        <v>0</v>
      </c>
      <c r="U154" t="b">
        <v>0</v>
      </c>
      <c r="V154" t="b">
        <v>1</v>
      </c>
      <c r="W154" t="b">
        <v>0</v>
      </c>
    </row>
    <row r="155" spans="1:23" ht="14.25" hidden="1" x14ac:dyDescent="0.45">
      <c r="A155">
        <v>144</v>
      </c>
      <c r="B155" t="s">
        <v>374</v>
      </c>
      <c r="C155" t="s">
        <v>25</v>
      </c>
      <c r="D155" t="s">
        <v>375</v>
      </c>
      <c r="F155" s="2"/>
      <c r="I155" t="s">
        <v>29</v>
      </c>
      <c r="J155" s="2"/>
      <c r="K155" s="2">
        <v>6</v>
      </c>
      <c r="L155" s="2">
        <v>3</v>
      </c>
      <c r="M155" s="1">
        <v>0.74</v>
      </c>
      <c r="O155" t="str">
        <f>_xlfn.CONCAT("https://raw.githubusercontent.com/LaryBird12/geo-images/main/images/",Table_Master_Inventory[[#This Row],[Master Record ID]],".jpg")</f>
        <v>https://raw.githubusercontent.com/LaryBird12/geo-images/main/images/144.jpg</v>
      </c>
      <c r="P155" s="3"/>
      <c r="Q155" t="b">
        <v>1</v>
      </c>
      <c r="R155" t="b">
        <v>0</v>
      </c>
      <c r="S155" t="b">
        <v>0</v>
      </c>
      <c r="T155" t="b">
        <v>0</v>
      </c>
      <c r="U155" t="b">
        <v>0</v>
      </c>
      <c r="V155" t="b">
        <v>1</v>
      </c>
      <c r="W155" t="b">
        <v>0</v>
      </c>
    </row>
    <row r="156" spans="1:23" ht="14.25" hidden="1" x14ac:dyDescent="0.45">
      <c r="A156">
        <v>145</v>
      </c>
      <c r="B156" t="s">
        <v>376</v>
      </c>
      <c r="C156" t="s">
        <v>25</v>
      </c>
      <c r="D156" t="s">
        <v>375</v>
      </c>
      <c r="F156" s="2" t="s">
        <v>377</v>
      </c>
      <c r="I156" t="s">
        <v>40</v>
      </c>
      <c r="J156" s="2" t="s">
        <v>378</v>
      </c>
      <c r="K156" s="2">
        <v>5</v>
      </c>
      <c r="L156" s="2">
        <v>5</v>
      </c>
      <c r="M156" s="1">
        <v>0.46</v>
      </c>
      <c r="O156" t="str">
        <f>_xlfn.CONCAT("https://raw.githubusercontent.com/LaryBird12/geo-images/main/images/",Table_Master_Inventory[[#This Row],[Master Record ID]],".jpg")</f>
        <v>https://raw.githubusercontent.com/LaryBird12/geo-images/main/images/145.jpg</v>
      </c>
      <c r="P156" s="3"/>
      <c r="Q156" t="b">
        <v>1</v>
      </c>
      <c r="R156" t="b">
        <v>0</v>
      </c>
      <c r="S156" t="b">
        <v>0</v>
      </c>
      <c r="T156" t="b">
        <v>0</v>
      </c>
      <c r="U156" t="b">
        <v>0</v>
      </c>
      <c r="V156" t="b">
        <v>1</v>
      </c>
      <c r="W156" t="b">
        <v>0</v>
      </c>
    </row>
    <row r="157" spans="1:23" ht="14.25" hidden="1" x14ac:dyDescent="0.45">
      <c r="A157">
        <v>146</v>
      </c>
      <c r="B157" t="s">
        <v>379</v>
      </c>
      <c r="C157" t="s">
        <v>25</v>
      </c>
      <c r="D157" t="s">
        <v>375</v>
      </c>
      <c r="F157" s="2" t="s">
        <v>380</v>
      </c>
      <c r="I157" t="s">
        <v>40</v>
      </c>
      <c r="J157" s="2" t="s">
        <v>381</v>
      </c>
      <c r="K157" s="2">
        <v>5</v>
      </c>
      <c r="L157" s="2">
        <v>5</v>
      </c>
      <c r="M157" s="1">
        <v>0.46</v>
      </c>
      <c r="O157" t="str">
        <f>_xlfn.CONCAT("https://raw.githubusercontent.com/LaryBird12/geo-images/main/images/",Table_Master_Inventory[[#This Row],[Master Record ID]],".jpg")</f>
        <v>https://raw.githubusercontent.com/LaryBird12/geo-images/main/images/146.jpg</v>
      </c>
      <c r="P157" s="3"/>
      <c r="Q157" t="b">
        <v>1</v>
      </c>
      <c r="R157" t="b">
        <v>0</v>
      </c>
      <c r="S157" t="b">
        <v>0</v>
      </c>
      <c r="T157" t="b">
        <v>0</v>
      </c>
      <c r="U157" t="b">
        <v>0</v>
      </c>
      <c r="V157" t="b">
        <v>1</v>
      </c>
      <c r="W157" t="b">
        <v>0</v>
      </c>
    </row>
    <row r="158" spans="1:23" ht="14.25" hidden="1" x14ac:dyDescent="0.45">
      <c r="A158">
        <v>147</v>
      </c>
      <c r="B158" t="s">
        <v>382</v>
      </c>
      <c r="C158" t="s">
        <v>299</v>
      </c>
      <c r="D158" t="s">
        <v>383</v>
      </c>
      <c r="E158" t="s">
        <v>384</v>
      </c>
      <c r="F158" s="2" t="s">
        <v>385</v>
      </c>
      <c r="I158" t="s">
        <v>40</v>
      </c>
      <c r="J158" s="2" t="s">
        <v>386</v>
      </c>
      <c r="K158" s="2">
        <v>4</v>
      </c>
      <c r="L158" s="2">
        <v>4</v>
      </c>
      <c r="M158" s="1">
        <v>13.11</v>
      </c>
      <c r="O158" t="str">
        <f>_xlfn.CONCAT("https://raw.githubusercontent.com/LaryBird12/geo-images/main/images/",Table_Master_Inventory[[#This Row],[Master Record ID]],".jpg")</f>
        <v>https://raw.githubusercontent.com/LaryBird12/geo-images/main/images/147.jpg</v>
      </c>
      <c r="P158" s="3"/>
      <c r="Q158" t="b">
        <v>1</v>
      </c>
      <c r="R158" t="b">
        <v>0</v>
      </c>
      <c r="S158" t="b">
        <v>0</v>
      </c>
      <c r="T158" t="b">
        <v>0</v>
      </c>
      <c r="U158" t="b">
        <v>0</v>
      </c>
      <c r="V158" t="b">
        <v>1</v>
      </c>
      <c r="W158" t="b">
        <v>0</v>
      </c>
    </row>
    <row r="159" spans="1:23" ht="14.25" hidden="1" x14ac:dyDescent="0.45">
      <c r="A159">
        <v>148</v>
      </c>
      <c r="B159" t="s">
        <v>387</v>
      </c>
      <c r="C159" t="s">
        <v>299</v>
      </c>
      <c r="D159" t="s">
        <v>383</v>
      </c>
      <c r="E159" t="s">
        <v>384</v>
      </c>
      <c r="F159" s="2" t="s">
        <v>124</v>
      </c>
      <c r="I159" t="s">
        <v>29</v>
      </c>
      <c r="J159" s="2">
        <v>100063067</v>
      </c>
      <c r="K159" s="2">
        <v>4</v>
      </c>
      <c r="L159" s="2">
        <v>4</v>
      </c>
      <c r="M159" s="1">
        <v>5.61</v>
      </c>
      <c r="O159" t="str">
        <f>_xlfn.CONCAT("https://raw.githubusercontent.com/LaryBird12/geo-images/main/images/",Table_Master_Inventory[[#This Row],[Master Record ID]],".jpg")</f>
        <v>https://raw.githubusercontent.com/LaryBird12/geo-images/main/images/148.jpg</v>
      </c>
      <c r="P159" s="3"/>
      <c r="Q159" t="b">
        <v>1</v>
      </c>
      <c r="R159" t="b">
        <v>0</v>
      </c>
      <c r="S159" t="b">
        <v>0</v>
      </c>
      <c r="T159" t="b">
        <v>0</v>
      </c>
      <c r="U159" t="b">
        <v>0</v>
      </c>
      <c r="V159" t="b">
        <v>1</v>
      </c>
      <c r="W159" t="b">
        <v>0</v>
      </c>
    </row>
    <row r="160" spans="1:23" ht="14.25" hidden="1" x14ac:dyDescent="0.45">
      <c r="A160">
        <v>149</v>
      </c>
      <c r="B160" t="s">
        <v>388</v>
      </c>
      <c r="C160" t="s">
        <v>299</v>
      </c>
      <c r="D160" t="s">
        <v>383</v>
      </c>
      <c r="E160" t="s">
        <v>389</v>
      </c>
      <c r="F160" s="2" t="s">
        <v>390</v>
      </c>
      <c r="I160" t="s">
        <v>391</v>
      </c>
      <c r="J160" s="2" t="s">
        <v>392</v>
      </c>
      <c r="K160" s="2">
        <v>100</v>
      </c>
      <c r="L160" s="2">
        <v>100</v>
      </c>
      <c r="M160" s="1">
        <v>3.21</v>
      </c>
      <c r="O160" t="str">
        <f>_xlfn.CONCAT("https://raw.githubusercontent.com/LaryBird12/geo-images/main/images/",Table_Master_Inventory[[#This Row],[Master Record ID]],".jpg")</f>
        <v>https://raw.githubusercontent.com/LaryBird12/geo-images/main/images/149.jpg</v>
      </c>
      <c r="P160" s="3"/>
      <c r="Q160" t="b">
        <v>1</v>
      </c>
      <c r="R160" t="b">
        <v>0</v>
      </c>
      <c r="S160" t="b">
        <v>0</v>
      </c>
      <c r="T160" t="b">
        <v>0</v>
      </c>
      <c r="U160" t="b">
        <v>0</v>
      </c>
      <c r="V160" t="b">
        <v>1</v>
      </c>
      <c r="W160" t="b">
        <v>0</v>
      </c>
    </row>
    <row r="161" spans="1:23" ht="14.25" hidden="1" x14ac:dyDescent="0.45">
      <c r="A161">
        <v>150</v>
      </c>
      <c r="B161" t="s">
        <v>393</v>
      </c>
      <c r="C161" t="s">
        <v>299</v>
      </c>
      <c r="D161" t="s">
        <v>383</v>
      </c>
      <c r="E161" t="s">
        <v>389</v>
      </c>
      <c r="F161" s="2" t="s">
        <v>394</v>
      </c>
      <c r="I161" t="s">
        <v>40</v>
      </c>
      <c r="J161" s="2" t="s">
        <v>395</v>
      </c>
      <c r="K161" s="2">
        <v>20</v>
      </c>
      <c r="L161" s="2">
        <v>8</v>
      </c>
      <c r="M161" s="1">
        <v>4.67</v>
      </c>
      <c r="O161" t="str">
        <f>_xlfn.CONCAT("https://raw.githubusercontent.com/LaryBird12/geo-images/main/images/",Table_Master_Inventory[[#This Row],[Master Record ID]],".jpg")</f>
        <v>https://raw.githubusercontent.com/LaryBird12/geo-images/main/images/150.jpg</v>
      </c>
      <c r="P161" s="3"/>
      <c r="Q161" t="b">
        <v>1</v>
      </c>
      <c r="R161" t="b">
        <v>0</v>
      </c>
      <c r="S161" t="b">
        <v>0</v>
      </c>
      <c r="T161" t="b">
        <v>0</v>
      </c>
      <c r="U161" t="b">
        <v>0</v>
      </c>
      <c r="V161" t="b">
        <v>1</v>
      </c>
      <c r="W161" t="b">
        <v>0</v>
      </c>
    </row>
    <row r="162" spans="1:23" ht="14.25" x14ac:dyDescent="0.45">
      <c r="A162">
        <v>151</v>
      </c>
      <c r="B162" t="s">
        <v>396</v>
      </c>
      <c r="C162" t="s">
        <v>25</v>
      </c>
      <c r="D162" t="s">
        <v>397</v>
      </c>
      <c r="E162" t="s">
        <v>58</v>
      </c>
      <c r="F162" s="2" t="s">
        <v>68</v>
      </c>
      <c r="I162" t="s">
        <v>391</v>
      </c>
      <c r="J162" s="2" t="s">
        <v>398</v>
      </c>
      <c r="K162" s="2">
        <v>20</v>
      </c>
      <c r="L162" s="2">
        <v>20</v>
      </c>
      <c r="M162" s="1"/>
      <c r="O162" t="str">
        <f>_xlfn.CONCAT("https://raw.githubusercontent.com/LaryBird12/geo-images/main/images/",Table_Master_Inventory[[#This Row],[Master Record ID]],".jpg")</f>
        <v>https://raw.githubusercontent.com/LaryBird12/geo-images/main/images/151.jpg</v>
      </c>
      <c r="P162" s="3"/>
      <c r="Q162" t="b">
        <v>1</v>
      </c>
      <c r="R162" t="b">
        <v>0</v>
      </c>
      <c r="S162" t="b">
        <v>0</v>
      </c>
      <c r="T162" t="b">
        <v>0</v>
      </c>
      <c r="U162" t="b">
        <v>0</v>
      </c>
      <c r="V162" t="b">
        <v>1</v>
      </c>
      <c r="W162" t="b">
        <v>0</v>
      </c>
    </row>
    <row r="163" spans="1:23" ht="14.25" x14ac:dyDescent="0.45">
      <c r="A163">
        <v>152</v>
      </c>
      <c r="B163" t="s">
        <v>399</v>
      </c>
      <c r="C163" t="s">
        <v>25</v>
      </c>
      <c r="D163" t="s">
        <v>397</v>
      </c>
      <c r="E163" t="s">
        <v>58</v>
      </c>
      <c r="F163" s="2" t="s">
        <v>251</v>
      </c>
      <c r="I163" t="s">
        <v>391</v>
      </c>
      <c r="J163" s="2" t="s">
        <v>400</v>
      </c>
      <c r="K163" s="2">
        <v>50</v>
      </c>
      <c r="L163" s="2">
        <v>50</v>
      </c>
      <c r="M163" s="1">
        <v>2.19</v>
      </c>
      <c r="O163" t="str">
        <f>_xlfn.CONCAT("https://raw.githubusercontent.com/LaryBird12/geo-images/main/images/",Table_Master_Inventory[[#This Row],[Master Record ID]],".jpg")</f>
        <v>https://raw.githubusercontent.com/LaryBird12/geo-images/main/images/152.jpg</v>
      </c>
      <c r="P163" s="3"/>
      <c r="Q163" t="b">
        <v>1</v>
      </c>
      <c r="R163" t="b">
        <v>0</v>
      </c>
      <c r="S163" t="b">
        <v>0</v>
      </c>
      <c r="T163" t="b">
        <v>0</v>
      </c>
      <c r="U163" t="b">
        <v>0</v>
      </c>
      <c r="V163" t="b">
        <v>1</v>
      </c>
      <c r="W163" t="b">
        <v>0</v>
      </c>
    </row>
    <row r="164" spans="1:23" ht="14.25" x14ac:dyDescent="0.45">
      <c r="A164">
        <v>153</v>
      </c>
      <c r="B164" t="s">
        <v>401</v>
      </c>
      <c r="C164" t="s">
        <v>25</v>
      </c>
      <c r="D164" t="s">
        <v>397</v>
      </c>
      <c r="E164" t="s">
        <v>58</v>
      </c>
      <c r="F164" s="2" t="s">
        <v>251</v>
      </c>
      <c r="I164" t="s">
        <v>391</v>
      </c>
      <c r="J164" s="2" t="s">
        <v>402</v>
      </c>
      <c r="K164" s="2">
        <v>100</v>
      </c>
      <c r="L164" s="2">
        <v>100</v>
      </c>
      <c r="M164" s="1">
        <v>2.59</v>
      </c>
      <c r="O164" t="str">
        <f>_xlfn.CONCAT("https://raw.githubusercontent.com/LaryBird12/geo-images/main/images/",Table_Master_Inventory[[#This Row],[Master Record ID]],".jpg")</f>
        <v>https://raw.githubusercontent.com/LaryBird12/geo-images/main/images/153.jpg</v>
      </c>
      <c r="P164" s="3"/>
      <c r="Q164" t="b">
        <v>1</v>
      </c>
      <c r="R164" t="b">
        <v>0</v>
      </c>
      <c r="S164" t="b">
        <v>0</v>
      </c>
      <c r="T164" t="b">
        <v>0</v>
      </c>
      <c r="U164" t="b">
        <v>0</v>
      </c>
      <c r="V164" t="b">
        <v>1</v>
      </c>
      <c r="W164" t="b">
        <v>0</v>
      </c>
    </row>
    <row r="165" spans="1:23" ht="14.25" x14ac:dyDescent="0.45">
      <c r="A165">
        <v>154</v>
      </c>
      <c r="B165" t="s">
        <v>403</v>
      </c>
      <c r="C165" t="s">
        <v>25</v>
      </c>
      <c r="D165" t="s">
        <v>397</v>
      </c>
      <c r="E165" t="s">
        <v>58</v>
      </c>
      <c r="F165" s="2" t="s">
        <v>251</v>
      </c>
      <c r="I165" t="s">
        <v>391</v>
      </c>
      <c r="J165" s="2" t="s">
        <v>404</v>
      </c>
      <c r="K165" s="2">
        <v>20</v>
      </c>
      <c r="L165" s="2">
        <v>10</v>
      </c>
      <c r="M165" s="1"/>
      <c r="O165" t="str">
        <f>_xlfn.CONCAT("https://raw.githubusercontent.com/LaryBird12/geo-images/main/images/",Table_Master_Inventory[[#This Row],[Master Record ID]],".jpg")</f>
        <v>https://raw.githubusercontent.com/LaryBird12/geo-images/main/images/154.jpg</v>
      </c>
      <c r="P165" s="3"/>
      <c r="Q165" t="b">
        <v>1</v>
      </c>
      <c r="R165" t="b">
        <v>0</v>
      </c>
      <c r="S165" t="b">
        <v>0</v>
      </c>
      <c r="T165" t="b">
        <v>0</v>
      </c>
      <c r="U165" t="b">
        <v>0</v>
      </c>
      <c r="V165" t="b">
        <v>1</v>
      </c>
      <c r="W165" t="b">
        <v>0</v>
      </c>
    </row>
    <row r="166" spans="1:23" ht="14.25" x14ac:dyDescent="0.45">
      <c r="A166">
        <v>155</v>
      </c>
      <c r="B166" t="s">
        <v>405</v>
      </c>
      <c r="C166" t="s">
        <v>25</v>
      </c>
      <c r="D166" t="s">
        <v>397</v>
      </c>
      <c r="E166" t="s">
        <v>58</v>
      </c>
      <c r="F166" s="2" t="s">
        <v>251</v>
      </c>
      <c r="I166" t="s">
        <v>406</v>
      </c>
      <c r="J166" s="2" t="s">
        <v>407</v>
      </c>
      <c r="K166" s="2" t="s">
        <v>408</v>
      </c>
      <c r="L166" s="2" t="s">
        <v>408</v>
      </c>
      <c r="M166" s="1"/>
      <c r="O166" t="str">
        <f>_xlfn.CONCAT("https://raw.githubusercontent.com/LaryBird12/geo-images/main/images/",Table_Master_Inventory[[#This Row],[Master Record ID]],".jpg")</f>
        <v>https://raw.githubusercontent.com/LaryBird12/geo-images/main/images/155.jpg</v>
      </c>
      <c r="P166" s="3"/>
      <c r="Q166" t="b">
        <v>1</v>
      </c>
      <c r="R166" t="b">
        <v>0</v>
      </c>
      <c r="S166" t="b">
        <v>0</v>
      </c>
      <c r="T166" t="b">
        <v>0</v>
      </c>
      <c r="U166" t="b">
        <v>0</v>
      </c>
      <c r="V166" t="b">
        <v>1</v>
      </c>
      <c r="W166" t="b">
        <v>0</v>
      </c>
    </row>
    <row r="167" spans="1:23" ht="14.25" x14ac:dyDescent="0.45">
      <c r="A167">
        <v>156</v>
      </c>
      <c r="B167" t="s">
        <v>409</v>
      </c>
      <c r="C167" t="s">
        <v>25</v>
      </c>
      <c r="D167" t="s">
        <v>397</v>
      </c>
      <c r="E167" t="s">
        <v>58</v>
      </c>
      <c r="F167" s="2" t="s">
        <v>410</v>
      </c>
      <c r="I167" t="s">
        <v>391</v>
      </c>
      <c r="J167" s="2" t="s">
        <v>411</v>
      </c>
      <c r="K167" s="2">
        <v>6</v>
      </c>
      <c r="L167" s="2">
        <v>4</v>
      </c>
      <c r="M167" s="1"/>
      <c r="O167" t="str">
        <f>_xlfn.CONCAT("https://raw.githubusercontent.com/LaryBird12/geo-images/main/images/",Table_Master_Inventory[[#This Row],[Master Record ID]],".jpg")</f>
        <v>https://raw.githubusercontent.com/LaryBird12/geo-images/main/images/156.jpg</v>
      </c>
      <c r="P167" s="3"/>
      <c r="Q167" t="b">
        <v>1</v>
      </c>
      <c r="R167" t="b">
        <v>0</v>
      </c>
      <c r="S167" t="b">
        <v>0</v>
      </c>
      <c r="T167" t="b">
        <v>0</v>
      </c>
      <c r="U167" t="b">
        <v>0</v>
      </c>
      <c r="V167" t="b">
        <v>1</v>
      </c>
      <c r="W167" t="b">
        <v>0</v>
      </c>
    </row>
    <row r="168" spans="1:23" ht="14.25" x14ac:dyDescent="0.45">
      <c r="A168">
        <v>157</v>
      </c>
      <c r="B168" t="s">
        <v>412</v>
      </c>
      <c r="C168" t="s">
        <v>25</v>
      </c>
      <c r="D168" t="s">
        <v>397</v>
      </c>
      <c r="E168" t="s">
        <v>58</v>
      </c>
      <c r="F168" s="2" t="s">
        <v>254</v>
      </c>
      <c r="I168" t="s">
        <v>391</v>
      </c>
      <c r="J168" s="2" t="s">
        <v>413</v>
      </c>
      <c r="K168" s="2">
        <v>20</v>
      </c>
      <c r="L168" s="2">
        <v>20</v>
      </c>
      <c r="M168" s="1">
        <v>2.29</v>
      </c>
      <c r="O168" t="str">
        <f>_xlfn.CONCAT("https://raw.githubusercontent.com/LaryBird12/geo-images/main/images/",Table_Master_Inventory[[#This Row],[Master Record ID]],".jpg")</f>
        <v>https://raw.githubusercontent.com/LaryBird12/geo-images/main/images/157.jpg</v>
      </c>
      <c r="P168" s="3"/>
      <c r="Q168" t="b">
        <v>1</v>
      </c>
      <c r="R168" t="b">
        <v>0</v>
      </c>
      <c r="S168" t="b">
        <v>0</v>
      </c>
      <c r="T168" t="b">
        <v>0</v>
      </c>
      <c r="U168" t="b">
        <v>0</v>
      </c>
      <c r="V168" t="b">
        <v>1</v>
      </c>
      <c r="W168" t="b">
        <v>0</v>
      </c>
    </row>
    <row r="169" spans="1:23" ht="14.25" x14ac:dyDescent="0.45">
      <c r="A169">
        <v>158</v>
      </c>
      <c r="B169" t="s">
        <v>414</v>
      </c>
      <c r="C169" t="s">
        <v>25</v>
      </c>
      <c r="D169" t="s">
        <v>397</v>
      </c>
      <c r="E169" t="s">
        <v>58</v>
      </c>
      <c r="F169" s="2" t="s">
        <v>415</v>
      </c>
      <c r="I169" t="s">
        <v>391</v>
      </c>
      <c r="J169" s="2" t="s">
        <v>416</v>
      </c>
      <c r="K169" s="2">
        <v>50</v>
      </c>
      <c r="L169" s="2">
        <v>50</v>
      </c>
      <c r="M169" s="1">
        <v>4.6399999999999997</v>
      </c>
      <c r="O169" t="str">
        <f>_xlfn.CONCAT("https://raw.githubusercontent.com/LaryBird12/geo-images/main/images/",Table_Master_Inventory[[#This Row],[Master Record ID]],".jpg")</f>
        <v>https://raw.githubusercontent.com/LaryBird12/geo-images/main/images/158.jpg</v>
      </c>
      <c r="P169" s="3"/>
      <c r="Q169" t="b">
        <v>1</v>
      </c>
      <c r="R169" t="b">
        <v>0</v>
      </c>
      <c r="S169" t="b">
        <v>0</v>
      </c>
      <c r="T169" t="b">
        <v>0</v>
      </c>
      <c r="U169" t="b">
        <v>0</v>
      </c>
      <c r="V169" t="b">
        <v>1</v>
      </c>
      <c r="W169" t="b">
        <v>0</v>
      </c>
    </row>
    <row r="170" spans="1:23" ht="14.25" x14ac:dyDescent="0.45">
      <c r="A170">
        <v>159</v>
      </c>
      <c r="B170" t="s">
        <v>417</v>
      </c>
      <c r="C170" t="s">
        <v>25</v>
      </c>
      <c r="D170" t="s">
        <v>397</v>
      </c>
      <c r="E170" t="s">
        <v>58</v>
      </c>
      <c r="F170" s="2" t="s">
        <v>254</v>
      </c>
      <c r="I170" t="s">
        <v>418</v>
      </c>
      <c r="J170" s="2" t="s">
        <v>419</v>
      </c>
      <c r="K170" s="2">
        <v>10</v>
      </c>
      <c r="L170" s="2">
        <v>10</v>
      </c>
      <c r="M170" s="1"/>
      <c r="O170" t="str">
        <f>_xlfn.CONCAT("https://raw.githubusercontent.com/LaryBird12/geo-images/main/images/",Table_Master_Inventory[[#This Row],[Master Record ID]],".jpg")</f>
        <v>https://raw.githubusercontent.com/LaryBird12/geo-images/main/images/159.jpg</v>
      </c>
      <c r="P170" s="3"/>
      <c r="Q170" t="b">
        <v>1</v>
      </c>
      <c r="R170" t="b">
        <v>0</v>
      </c>
      <c r="S170" t="b">
        <v>0</v>
      </c>
      <c r="T170" t="b">
        <v>0</v>
      </c>
      <c r="U170" t="b">
        <v>0</v>
      </c>
      <c r="V170" t="b">
        <v>1</v>
      </c>
      <c r="W170" t="b">
        <v>0</v>
      </c>
    </row>
    <row r="171" spans="1:23" ht="14.25" x14ac:dyDescent="0.45">
      <c r="A171">
        <v>160</v>
      </c>
      <c r="B171" t="s">
        <v>420</v>
      </c>
      <c r="C171" t="s">
        <v>25</v>
      </c>
      <c r="D171" t="s">
        <v>397</v>
      </c>
      <c r="E171" t="s">
        <v>58</v>
      </c>
      <c r="F171" s="2" t="s">
        <v>254</v>
      </c>
      <c r="I171" t="s">
        <v>391</v>
      </c>
      <c r="J171" s="2" t="s">
        <v>421</v>
      </c>
      <c r="K171" s="2">
        <v>20</v>
      </c>
      <c r="L171" s="2">
        <v>10</v>
      </c>
      <c r="M171" s="1">
        <v>3.19</v>
      </c>
      <c r="O171" t="str">
        <f>_xlfn.CONCAT("https://raw.githubusercontent.com/LaryBird12/geo-images/main/images/",Table_Master_Inventory[[#This Row],[Master Record ID]],".jpg")</f>
        <v>https://raw.githubusercontent.com/LaryBird12/geo-images/main/images/160.jpg</v>
      </c>
      <c r="P171" s="3"/>
      <c r="Q171" t="b">
        <v>1</v>
      </c>
      <c r="R171" t="b">
        <v>0</v>
      </c>
      <c r="S171" t="b">
        <v>0</v>
      </c>
      <c r="T171" t="b">
        <v>0</v>
      </c>
      <c r="U171" t="b">
        <v>0</v>
      </c>
      <c r="V171" t="b">
        <v>1</v>
      </c>
      <c r="W171" t="b">
        <v>0</v>
      </c>
    </row>
    <row r="172" spans="1:23" ht="14.25" x14ac:dyDescent="0.45">
      <c r="A172">
        <v>161</v>
      </c>
      <c r="B172" t="s">
        <v>422</v>
      </c>
      <c r="C172" t="s">
        <v>25</v>
      </c>
      <c r="D172" t="s">
        <v>397</v>
      </c>
      <c r="E172" t="s">
        <v>58</v>
      </c>
      <c r="F172" s="2" t="s">
        <v>423</v>
      </c>
      <c r="I172" t="s">
        <v>391</v>
      </c>
      <c r="J172" s="2" t="s">
        <v>424</v>
      </c>
      <c r="K172" s="2">
        <v>40</v>
      </c>
      <c r="L172" s="2">
        <v>20</v>
      </c>
      <c r="M172" s="1">
        <v>7.14</v>
      </c>
      <c r="O172" t="str">
        <f>_xlfn.CONCAT("https://raw.githubusercontent.com/LaryBird12/geo-images/main/images/",Table_Master_Inventory[[#This Row],[Master Record ID]],".jpg")</f>
        <v>https://raw.githubusercontent.com/LaryBird12/geo-images/main/images/161.jpg</v>
      </c>
      <c r="P172" s="3"/>
      <c r="Q172" t="b">
        <v>1</v>
      </c>
      <c r="R172" t="b">
        <v>0</v>
      </c>
      <c r="S172" t="b">
        <v>0</v>
      </c>
      <c r="T172" t="b">
        <v>0</v>
      </c>
      <c r="U172" t="b">
        <v>0</v>
      </c>
      <c r="V172" t="b">
        <v>1</v>
      </c>
      <c r="W172" t="b">
        <v>0</v>
      </c>
    </row>
    <row r="173" spans="1:23" ht="14.25" x14ac:dyDescent="0.45">
      <c r="A173">
        <v>162</v>
      </c>
      <c r="B173" t="s">
        <v>425</v>
      </c>
      <c r="C173" t="s">
        <v>25</v>
      </c>
      <c r="D173" t="s">
        <v>397</v>
      </c>
      <c r="E173" t="s">
        <v>58</v>
      </c>
      <c r="F173" s="2" t="s">
        <v>426</v>
      </c>
      <c r="I173" t="s">
        <v>391</v>
      </c>
      <c r="J173" s="2" t="s">
        <v>427</v>
      </c>
      <c r="K173" s="2">
        <v>20</v>
      </c>
      <c r="L173" s="2">
        <v>8</v>
      </c>
      <c r="M173" s="1" t="s">
        <v>428</v>
      </c>
      <c r="O173" t="str">
        <f>_xlfn.CONCAT("https://raw.githubusercontent.com/LaryBird12/geo-images/main/images/",Table_Master_Inventory[[#This Row],[Master Record ID]],".jpg")</f>
        <v>https://raw.githubusercontent.com/LaryBird12/geo-images/main/images/162.jpg</v>
      </c>
      <c r="P173" s="3"/>
      <c r="Q173" t="b">
        <v>1</v>
      </c>
      <c r="R173" t="b">
        <v>1</v>
      </c>
      <c r="S173" t="b">
        <v>0</v>
      </c>
      <c r="T173" t="b">
        <v>0</v>
      </c>
      <c r="U173" t="b">
        <v>0</v>
      </c>
      <c r="V173" t="b">
        <v>1</v>
      </c>
      <c r="W173" t="b">
        <v>0</v>
      </c>
    </row>
    <row r="174" spans="1:23" ht="14.25" x14ac:dyDescent="0.45">
      <c r="A174">
        <v>163</v>
      </c>
      <c r="B174" t="s">
        <v>429</v>
      </c>
      <c r="C174" t="s">
        <v>25</v>
      </c>
      <c r="D174" t="s">
        <v>397</v>
      </c>
      <c r="E174" t="s">
        <v>58</v>
      </c>
      <c r="F174" s="2" t="s">
        <v>426</v>
      </c>
      <c r="I174" t="s">
        <v>391</v>
      </c>
      <c r="J174" s="2" t="s">
        <v>430</v>
      </c>
      <c r="K174" s="2">
        <v>10</v>
      </c>
      <c r="L174" s="2">
        <v>8</v>
      </c>
      <c r="M174" s="1">
        <v>55.04</v>
      </c>
      <c r="O174" t="str">
        <f>_xlfn.CONCAT("https://raw.githubusercontent.com/LaryBird12/geo-images/main/images/",Table_Master_Inventory[[#This Row],[Master Record ID]],".jpg")</f>
        <v>https://raw.githubusercontent.com/LaryBird12/geo-images/main/images/163.jpg</v>
      </c>
      <c r="P174" s="3"/>
      <c r="Q174" t="b">
        <v>1</v>
      </c>
      <c r="R174" t="b">
        <v>0</v>
      </c>
      <c r="S174" t="b">
        <v>0</v>
      </c>
      <c r="T174" t="b">
        <v>0</v>
      </c>
      <c r="U174" t="b">
        <v>0</v>
      </c>
      <c r="V174" t="b">
        <v>1</v>
      </c>
      <c r="W174" t="b">
        <v>0</v>
      </c>
    </row>
    <row r="175" spans="1:23" ht="14.25" x14ac:dyDescent="0.45">
      <c r="A175">
        <v>164</v>
      </c>
      <c r="B175" t="s">
        <v>431</v>
      </c>
      <c r="C175" t="s">
        <v>25</v>
      </c>
      <c r="D175" t="s">
        <v>397</v>
      </c>
      <c r="E175" t="s">
        <v>58</v>
      </c>
      <c r="F175" s="2" t="s">
        <v>426</v>
      </c>
      <c r="I175" t="s">
        <v>391</v>
      </c>
      <c r="J175" s="2" t="s">
        <v>432</v>
      </c>
      <c r="K175" s="2">
        <v>6</v>
      </c>
      <c r="L175" s="2">
        <v>6</v>
      </c>
      <c r="M175" s="1">
        <v>52.09</v>
      </c>
      <c r="O175" t="str">
        <f>_xlfn.CONCAT("https://raw.githubusercontent.com/LaryBird12/geo-images/main/images/",Table_Master_Inventory[[#This Row],[Master Record ID]],".jpg")</f>
        <v>https://raw.githubusercontent.com/LaryBird12/geo-images/main/images/164.jpg</v>
      </c>
      <c r="P175" s="3"/>
      <c r="Q175" t="b">
        <v>1</v>
      </c>
      <c r="R175" t="b">
        <v>0</v>
      </c>
      <c r="S175" t="b">
        <v>0</v>
      </c>
      <c r="T175" t="b">
        <v>0</v>
      </c>
      <c r="U175" t="b">
        <v>0</v>
      </c>
      <c r="V175" t="b">
        <v>1</v>
      </c>
      <c r="W175" t="b">
        <v>0</v>
      </c>
    </row>
    <row r="176" spans="1:23" ht="14.25" hidden="1" x14ac:dyDescent="0.45">
      <c r="A176">
        <v>165</v>
      </c>
      <c r="B176" t="s">
        <v>433</v>
      </c>
      <c r="C176" t="s">
        <v>25</v>
      </c>
      <c r="D176" t="s">
        <v>397</v>
      </c>
      <c r="E176" t="s">
        <v>434</v>
      </c>
      <c r="F176" s="2" t="s">
        <v>132</v>
      </c>
      <c r="I176" t="s">
        <v>391</v>
      </c>
      <c r="J176" s="2" t="s">
        <v>435</v>
      </c>
      <c r="K176" s="2">
        <v>40</v>
      </c>
      <c r="L176" s="2">
        <v>20</v>
      </c>
      <c r="M176" s="1">
        <v>18.989999999999998</v>
      </c>
      <c r="O176" t="str">
        <f>_xlfn.CONCAT("https://raw.githubusercontent.com/LaryBird12/geo-images/main/images/",Table_Master_Inventory[[#This Row],[Master Record ID]],".jpg")</f>
        <v>https://raw.githubusercontent.com/LaryBird12/geo-images/main/images/165.jpg</v>
      </c>
      <c r="P176" s="3"/>
      <c r="Q176" t="b">
        <v>1</v>
      </c>
      <c r="R176" t="b">
        <v>0</v>
      </c>
      <c r="S176" t="b">
        <v>0</v>
      </c>
      <c r="T176" t="b">
        <v>0</v>
      </c>
      <c r="U176" t="b">
        <v>0</v>
      </c>
      <c r="V176" t="b">
        <v>1</v>
      </c>
      <c r="W176" t="b">
        <v>0</v>
      </c>
    </row>
    <row r="177" spans="1:23" ht="14.25" hidden="1" x14ac:dyDescent="0.45">
      <c r="A177">
        <v>166</v>
      </c>
      <c r="B177" t="s">
        <v>436</v>
      </c>
      <c r="C177" t="s">
        <v>25</v>
      </c>
      <c r="D177" t="s">
        <v>397</v>
      </c>
      <c r="E177" t="s">
        <v>434</v>
      </c>
      <c r="F177" s="2" t="s">
        <v>437</v>
      </c>
      <c r="I177" t="s">
        <v>391</v>
      </c>
      <c r="J177" s="2" t="s">
        <v>438</v>
      </c>
      <c r="K177" s="2">
        <v>12</v>
      </c>
      <c r="L177" s="2">
        <v>8</v>
      </c>
      <c r="M177" s="1">
        <v>51.5</v>
      </c>
      <c r="O177" t="str">
        <f>_xlfn.CONCAT("https://raw.githubusercontent.com/LaryBird12/geo-images/main/images/",Table_Master_Inventory[[#This Row],[Master Record ID]],".jpg")</f>
        <v>https://raw.githubusercontent.com/LaryBird12/geo-images/main/images/166.jpg</v>
      </c>
      <c r="P177" s="3"/>
      <c r="Q177" t="b">
        <v>1</v>
      </c>
      <c r="R177" t="b">
        <v>0</v>
      </c>
      <c r="S177" t="b">
        <v>0</v>
      </c>
      <c r="T177" t="b">
        <v>0</v>
      </c>
      <c r="U177" t="b">
        <v>0</v>
      </c>
      <c r="V177" t="b">
        <v>1</v>
      </c>
      <c r="W177" t="b">
        <v>0</v>
      </c>
    </row>
    <row r="178" spans="1:23" ht="14.25" hidden="1" x14ac:dyDescent="0.45">
      <c r="A178">
        <v>167</v>
      </c>
      <c r="B178" t="s">
        <v>439</v>
      </c>
      <c r="C178" t="s">
        <v>25</v>
      </c>
      <c r="D178" t="s">
        <v>397</v>
      </c>
      <c r="E178" t="s">
        <v>434</v>
      </c>
      <c r="F178" s="2" t="s">
        <v>437</v>
      </c>
      <c r="I178" t="s">
        <v>391</v>
      </c>
      <c r="J178" s="2" t="s">
        <v>440</v>
      </c>
      <c r="K178" s="2">
        <v>40</v>
      </c>
      <c r="L178" s="2">
        <v>20</v>
      </c>
      <c r="M178" s="1">
        <v>30</v>
      </c>
      <c r="O178" t="str">
        <f>_xlfn.CONCAT("https://raw.githubusercontent.com/LaryBird12/geo-images/main/images/",Table_Master_Inventory[[#This Row],[Master Record ID]],".jpg")</f>
        <v>https://raw.githubusercontent.com/LaryBird12/geo-images/main/images/167.jpg</v>
      </c>
      <c r="P178" s="3"/>
      <c r="Q178" t="b">
        <v>1</v>
      </c>
      <c r="R178" t="b">
        <v>0</v>
      </c>
      <c r="S178" t="b">
        <v>0</v>
      </c>
      <c r="T178" t="b">
        <v>0</v>
      </c>
      <c r="U178" t="b">
        <v>0</v>
      </c>
      <c r="V178" t="b">
        <v>1</v>
      </c>
      <c r="W178" t="b">
        <v>0</v>
      </c>
    </row>
    <row r="179" spans="1:23" ht="14.25" hidden="1" x14ac:dyDescent="0.45">
      <c r="A179">
        <v>168</v>
      </c>
      <c r="B179" t="s">
        <v>441</v>
      </c>
      <c r="C179" t="s">
        <v>25</v>
      </c>
      <c r="D179" t="s">
        <v>397</v>
      </c>
      <c r="E179" t="s">
        <v>434</v>
      </c>
      <c r="F179" s="2" t="s">
        <v>410</v>
      </c>
      <c r="I179" t="s">
        <v>391</v>
      </c>
      <c r="J179" s="2" t="s">
        <v>442</v>
      </c>
      <c r="K179" s="2">
        <v>12</v>
      </c>
      <c r="L179" s="2">
        <v>8</v>
      </c>
      <c r="M179" s="1">
        <v>18.350000000000001</v>
      </c>
      <c r="O179" t="str">
        <f>_xlfn.CONCAT("https://raw.githubusercontent.com/LaryBird12/geo-images/main/images/",Table_Master_Inventory[[#This Row],[Master Record ID]],".jpg")</f>
        <v>https://raw.githubusercontent.com/LaryBird12/geo-images/main/images/168.jpg</v>
      </c>
      <c r="P179" s="3"/>
      <c r="Q179" t="b">
        <v>1</v>
      </c>
      <c r="R179" t="b">
        <v>0</v>
      </c>
      <c r="S179" t="b">
        <v>0</v>
      </c>
      <c r="T179" t="b">
        <v>0</v>
      </c>
      <c r="U179" t="b">
        <v>0</v>
      </c>
      <c r="V179" t="b">
        <v>1</v>
      </c>
      <c r="W179" t="b">
        <v>0</v>
      </c>
    </row>
    <row r="180" spans="1:23" ht="14.25" hidden="1" x14ac:dyDescent="0.45">
      <c r="A180">
        <v>169</v>
      </c>
      <c r="B180" t="s">
        <v>443</v>
      </c>
      <c r="C180" t="s">
        <v>25</v>
      </c>
      <c r="D180" t="s">
        <v>397</v>
      </c>
      <c r="E180" t="s">
        <v>434</v>
      </c>
      <c r="F180" s="2" t="s">
        <v>78</v>
      </c>
      <c r="I180" t="s">
        <v>391</v>
      </c>
      <c r="J180" s="2" t="s">
        <v>444</v>
      </c>
      <c r="K180" s="2" t="s">
        <v>445</v>
      </c>
      <c r="L180" s="2" t="s">
        <v>446</v>
      </c>
      <c r="M180" s="1">
        <v>3.36</v>
      </c>
      <c r="O180" t="str">
        <f>_xlfn.CONCAT("https://raw.githubusercontent.com/LaryBird12/geo-images/main/images/",Table_Master_Inventory[[#This Row],[Master Record ID]],".jpg")</f>
        <v>https://raw.githubusercontent.com/LaryBird12/geo-images/main/images/169.jpg</v>
      </c>
      <c r="P180" s="3"/>
      <c r="Q180" t="b">
        <v>1</v>
      </c>
      <c r="R180" t="b">
        <v>0</v>
      </c>
      <c r="S180" t="b">
        <v>0</v>
      </c>
      <c r="T180" t="b">
        <v>0</v>
      </c>
      <c r="U180" t="b">
        <v>0</v>
      </c>
      <c r="V180" t="b">
        <v>1</v>
      </c>
      <c r="W180" t="b">
        <v>0</v>
      </c>
    </row>
    <row r="181" spans="1:23" ht="14.25" hidden="1" x14ac:dyDescent="0.45">
      <c r="A181">
        <v>170</v>
      </c>
      <c r="B181" t="s">
        <v>447</v>
      </c>
      <c r="C181" t="s">
        <v>25</v>
      </c>
      <c r="D181" t="s">
        <v>397</v>
      </c>
      <c r="E181" t="s">
        <v>434</v>
      </c>
      <c r="F181" s="2" t="s">
        <v>124</v>
      </c>
      <c r="I181" t="s">
        <v>391</v>
      </c>
      <c r="J181" s="2" t="s">
        <v>448</v>
      </c>
      <c r="K181" s="2">
        <v>30</v>
      </c>
      <c r="L181" s="2">
        <v>16</v>
      </c>
      <c r="M181" s="1">
        <v>3.19</v>
      </c>
      <c r="O181" t="str">
        <f>_xlfn.CONCAT("https://raw.githubusercontent.com/LaryBird12/geo-images/main/images/",Table_Master_Inventory[[#This Row],[Master Record ID]],".jpg")</f>
        <v>https://raw.githubusercontent.com/LaryBird12/geo-images/main/images/170.jpg</v>
      </c>
      <c r="P181" s="3"/>
      <c r="Q181" t="b">
        <v>1</v>
      </c>
      <c r="R181" t="b">
        <v>0</v>
      </c>
      <c r="S181" t="b">
        <v>0</v>
      </c>
      <c r="T181" t="b">
        <v>0</v>
      </c>
      <c r="U181" t="b">
        <v>0</v>
      </c>
      <c r="V181" t="b">
        <v>1</v>
      </c>
      <c r="W181" t="b">
        <v>0</v>
      </c>
    </row>
    <row r="182" spans="1:23" ht="14.25" hidden="1" x14ac:dyDescent="0.45">
      <c r="A182">
        <v>171</v>
      </c>
      <c r="B182" t="s">
        <v>449</v>
      </c>
      <c r="C182" t="s">
        <v>25</v>
      </c>
      <c r="D182" t="s">
        <v>397</v>
      </c>
      <c r="E182" t="s">
        <v>434</v>
      </c>
      <c r="F182" s="2" t="s">
        <v>124</v>
      </c>
      <c r="I182" t="s">
        <v>40</v>
      </c>
      <c r="J182" s="2" t="s">
        <v>450</v>
      </c>
      <c r="K182" s="2">
        <v>16</v>
      </c>
      <c r="L182" s="2">
        <v>8</v>
      </c>
      <c r="M182" s="1">
        <v>1.71</v>
      </c>
      <c r="O182" t="str">
        <f>_xlfn.CONCAT("https://raw.githubusercontent.com/LaryBird12/geo-images/main/images/",Table_Master_Inventory[[#This Row],[Master Record ID]],".jpg")</f>
        <v>https://raw.githubusercontent.com/LaryBird12/geo-images/main/images/171.jpg</v>
      </c>
      <c r="P182" s="3"/>
      <c r="Q182" t="b">
        <v>1</v>
      </c>
      <c r="R182" t="b">
        <v>0</v>
      </c>
      <c r="S182" t="b">
        <v>0</v>
      </c>
      <c r="T182" t="b">
        <v>0</v>
      </c>
      <c r="U182" t="b">
        <v>0</v>
      </c>
      <c r="V182" t="b">
        <v>1</v>
      </c>
      <c r="W182" t="b">
        <v>0</v>
      </c>
    </row>
    <row r="183" spans="1:23" ht="14.25" hidden="1" x14ac:dyDescent="0.45">
      <c r="A183">
        <v>172</v>
      </c>
      <c r="B183" t="s">
        <v>451</v>
      </c>
      <c r="C183" t="s">
        <v>25</v>
      </c>
      <c r="D183" t="s">
        <v>397</v>
      </c>
      <c r="E183" t="s">
        <v>434</v>
      </c>
      <c r="F183" s="2" t="s">
        <v>452</v>
      </c>
      <c r="I183" t="s">
        <v>391</v>
      </c>
      <c r="J183" s="2" t="s">
        <v>453</v>
      </c>
      <c r="K183" s="2">
        <v>100</v>
      </c>
      <c r="L183" s="2">
        <v>24</v>
      </c>
      <c r="M183" s="1">
        <v>0.76</v>
      </c>
      <c r="O183" t="str">
        <f>_xlfn.CONCAT("https://raw.githubusercontent.com/LaryBird12/geo-images/main/images/",Table_Master_Inventory[[#This Row],[Master Record ID]],".jpg")</f>
        <v>https://raw.githubusercontent.com/LaryBird12/geo-images/main/images/172.jpg</v>
      </c>
      <c r="P183" s="3"/>
      <c r="Q183" t="b">
        <v>1</v>
      </c>
      <c r="R183" t="b">
        <v>0</v>
      </c>
      <c r="S183" t="b">
        <v>0</v>
      </c>
      <c r="T183" t="b">
        <v>0</v>
      </c>
      <c r="U183" t="b">
        <v>0</v>
      </c>
      <c r="V183" t="b">
        <v>1</v>
      </c>
      <c r="W183" t="b">
        <v>0</v>
      </c>
    </row>
    <row r="184" spans="1:23" ht="14.25" hidden="1" x14ac:dyDescent="0.45">
      <c r="A184">
        <v>173</v>
      </c>
      <c r="B184" t="s">
        <v>454</v>
      </c>
      <c r="C184" t="s">
        <v>299</v>
      </c>
      <c r="D184" t="s">
        <v>455</v>
      </c>
      <c r="F184" s="2" t="s">
        <v>456</v>
      </c>
      <c r="I184" t="s">
        <v>457</v>
      </c>
      <c r="J184" s="2"/>
      <c r="K184" s="2" t="s">
        <v>115</v>
      </c>
      <c r="L184" s="2" t="s">
        <v>116</v>
      </c>
      <c r="M184" s="1">
        <v>0.44</v>
      </c>
      <c r="N184" t="s">
        <v>356</v>
      </c>
      <c r="O184" t="str">
        <f>_xlfn.CONCAT("https://raw.githubusercontent.com/LaryBird12/geo-images/main/images/",Table_Master_Inventory[[#This Row],[Master Record ID]],".jpg")</f>
        <v>https://raw.githubusercontent.com/LaryBird12/geo-images/main/images/173.jpg</v>
      </c>
      <c r="P184" s="3"/>
      <c r="Q184" t="b">
        <v>1</v>
      </c>
      <c r="R184" t="b">
        <v>0</v>
      </c>
      <c r="S184" t="b">
        <v>0</v>
      </c>
      <c r="T184" t="b">
        <v>0</v>
      </c>
      <c r="U184" t="b">
        <v>0</v>
      </c>
      <c r="V184" t="b">
        <v>1</v>
      </c>
      <c r="W184" t="b">
        <v>0</v>
      </c>
    </row>
    <row r="185" spans="1:23" ht="14.25" hidden="1" x14ac:dyDescent="0.45">
      <c r="A185">
        <v>174</v>
      </c>
      <c r="B185" t="s">
        <v>458</v>
      </c>
      <c r="C185" t="s">
        <v>299</v>
      </c>
      <c r="D185" t="s">
        <v>455</v>
      </c>
      <c r="F185" s="2" t="s">
        <v>459</v>
      </c>
      <c r="I185" t="s">
        <v>457</v>
      </c>
      <c r="J185" s="2"/>
      <c r="K185" s="2" t="s">
        <v>460</v>
      </c>
      <c r="L185" s="2" t="s">
        <v>461</v>
      </c>
      <c r="M185" s="1">
        <v>0.55000000000000004</v>
      </c>
      <c r="N185" t="s">
        <v>356</v>
      </c>
      <c r="O185" t="str">
        <f>_xlfn.CONCAT("https://raw.githubusercontent.com/LaryBird12/geo-images/main/images/",Table_Master_Inventory[[#This Row],[Master Record ID]],".jpg")</f>
        <v>https://raw.githubusercontent.com/LaryBird12/geo-images/main/images/174.jpg</v>
      </c>
      <c r="P185" s="3"/>
      <c r="Q185" t="b">
        <v>1</v>
      </c>
      <c r="R185" t="b">
        <v>0</v>
      </c>
      <c r="S185" t="b">
        <v>0</v>
      </c>
      <c r="T185" t="b">
        <v>0</v>
      </c>
      <c r="U185" t="b">
        <v>0</v>
      </c>
      <c r="V185" t="b">
        <v>1</v>
      </c>
      <c r="W185" t="b">
        <v>0</v>
      </c>
    </row>
    <row r="186" spans="1:23" ht="14.25" hidden="1" x14ac:dyDescent="0.45">
      <c r="A186">
        <v>175</v>
      </c>
      <c r="B186" t="s">
        <v>462</v>
      </c>
      <c r="C186" t="s">
        <v>299</v>
      </c>
      <c r="D186" t="s">
        <v>455</v>
      </c>
      <c r="F186" s="2" t="s">
        <v>463</v>
      </c>
      <c r="I186" t="s">
        <v>457</v>
      </c>
      <c r="J186" s="2"/>
      <c r="K186" s="2" t="s">
        <v>284</v>
      </c>
      <c r="L186" s="2" t="s">
        <v>464</v>
      </c>
      <c r="M186" s="1">
        <v>0.62</v>
      </c>
      <c r="N186" t="s">
        <v>356</v>
      </c>
      <c r="O186" t="str">
        <f>_xlfn.CONCAT("https://raw.githubusercontent.com/LaryBird12/geo-images/main/images/",Table_Master_Inventory[[#This Row],[Master Record ID]],".jpg")</f>
        <v>https://raw.githubusercontent.com/LaryBird12/geo-images/main/images/175.jpg</v>
      </c>
      <c r="P186" s="3"/>
      <c r="Q186" t="b">
        <v>1</v>
      </c>
      <c r="R186" t="b">
        <v>0</v>
      </c>
      <c r="S186" t="b">
        <v>0</v>
      </c>
      <c r="T186" t="b">
        <v>0</v>
      </c>
      <c r="U186" t="b">
        <v>0</v>
      </c>
      <c r="V186" t="b">
        <v>1</v>
      </c>
      <c r="W186" t="b">
        <v>0</v>
      </c>
    </row>
    <row r="187" spans="1:23" ht="14.25" hidden="1" x14ac:dyDescent="0.45">
      <c r="A187">
        <v>176</v>
      </c>
      <c r="B187" t="s">
        <v>465</v>
      </c>
      <c r="C187" t="s">
        <v>299</v>
      </c>
      <c r="D187" t="s">
        <v>455</v>
      </c>
      <c r="F187" s="2" t="s">
        <v>264</v>
      </c>
      <c r="I187" t="s">
        <v>457</v>
      </c>
      <c r="J187" s="2"/>
      <c r="K187" s="2" t="s">
        <v>284</v>
      </c>
      <c r="L187" s="2" t="s">
        <v>464</v>
      </c>
      <c r="M187" s="1">
        <v>0.62</v>
      </c>
      <c r="N187" t="s">
        <v>356</v>
      </c>
      <c r="O187" t="str">
        <f>_xlfn.CONCAT("https://raw.githubusercontent.com/LaryBird12/geo-images/main/images/",Table_Master_Inventory[[#This Row],[Master Record ID]],".jpg")</f>
        <v>https://raw.githubusercontent.com/LaryBird12/geo-images/main/images/176.jpg</v>
      </c>
      <c r="P187" s="3"/>
      <c r="Q187" t="b">
        <v>1</v>
      </c>
      <c r="R187" t="b">
        <v>0</v>
      </c>
      <c r="S187" t="b">
        <v>0</v>
      </c>
      <c r="T187" t="b">
        <v>0</v>
      </c>
      <c r="U187" t="b">
        <v>0</v>
      </c>
      <c r="V187" t="b">
        <v>1</v>
      </c>
      <c r="W187" t="b">
        <v>0</v>
      </c>
    </row>
    <row r="188" spans="1:23" ht="14.25" hidden="1" x14ac:dyDescent="0.45">
      <c r="A188">
        <v>177</v>
      </c>
      <c r="B188" t="s">
        <v>466</v>
      </c>
      <c r="C188" t="s">
        <v>299</v>
      </c>
      <c r="D188" t="s">
        <v>455</v>
      </c>
      <c r="F188" s="2" t="s">
        <v>467</v>
      </c>
      <c r="I188" t="s">
        <v>457</v>
      </c>
      <c r="J188" s="2"/>
      <c r="K188" s="2" t="s">
        <v>460</v>
      </c>
      <c r="L188" s="2" t="s">
        <v>461</v>
      </c>
      <c r="M188" s="1">
        <v>0.82</v>
      </c>
      <c r="N188" t="s">
        <v>356</v>
      </c>
      <c r="O188" t="str">
        <f>_xlfn.CONCAT("https://raw.githubusercontent.com/LaryBird12/geo-images/main/images/",Table_Master_Inventory[[#This Row],[Master Record ID]],".jpg")</f>
        <v>https://raw.githubusercontent.com/LaryBird12/geo-images/main/images/177.jpg</v>
      </c>
      <c r="P188" s="3"/>
      <c r="Q188" t="b">
        <v>1</v>
      </c>
      <c r="R188" t="b">
        <v>0</v>
      </c>
      <c r="S188" t="b">
        <v>0</v>
      </c>
      <c r="T188" t="b">
        <v>0</v>
      </c>
      <c r="U188" t="b">
        <v>0</v>
      </c>
      <c r="V188" t="b">
        <v>1</v>
      </c>
      <c r="W188" t="b">
        <v>0</v>
      </c>
    </row>
    <row r="189" spans="1:23" ht="14.25" hidden="1" x14ac:dyDescent="0.45">
      <c r="A189">
        <v>178</v>
      </c>
      <c r="B189" t="s">
        <v>468</v>
      </c>
      <c r="C189" t="s">
        <v>299</v>
      </c>
      <c r="D189" t="s">
        <v>455</v>
      </c>
      <c r="F189" s="2" t="s">
        <v>415</v>
      </c>
      <c r="I189" t="s">
        <v>457</v>
      </c>
      <c r="J189" s="2"/>
      <c r="K189" s="2" t="s">
        <v>469</v>
      </c>
      <c r="L189" s="2" t="s">
        <v>284</v>
      </c>
      <c r="M189" s="1">
        <v>1.25</v>
      </c>
      <c r="N189" t="s">
        <v>356</v>
      </c>
      <c r="O189" t="str">
        <f>_xlfn.CONCAT("https://raw.githubusercontent.com/LaryBird12/geo-images/main/images/",Table_Master_Inventory[[#This Row],[Master Record ID]],".jpg")</f>
        <v>https://raw.githubusercontent.com/LaryBird12/geo-images/main/images/178.jpg</v>
      </c>
      <c r="P189" s="3"/>
      <c r="Q189" t="b">
        <v>1</v>
      </c>
      <c r="R189" t="b">
        <v>0</v>
      </c>
      <c r="S189" t="b">
        <v>0</v>
      </c>
      <c r="T189" t="b">
        <v>0</v>
      </c>
      <c r="U189" t="b">
        <v>0</v>
      </c>
      <c r="V189" t="b">
        <v>1</v>
      </c>
      <c r="W189" t="b">
        <v>0</v>
      </c>
    </row>
    <row r="190" spans="1:23" ht="14.25" hidden="1" x14ac:dyDescent="0.45">
      <c r="A190">
        <v>179</v>
      </c>
      <c r="B190" t="s">
        <v>470</v>
      </c>
      <c r="C190" t="s">
        <v>299</v>
      </c>
      <c r="D190" t="s">
        <v>455</v>
      </c>
      <c r="F190" s="2"/>
      <c r="I190" t="s">
        <v>471</v>
      </c>
      <c r="J190" s="2"/>
      <c r="K190" s="2" t="s">
        <v>472</v>
      </c>
      <c r="L190" s="2" t="s">
        <v>473</v>
      </c>
      <c r="M190" s="1">
        <v>10</v>
      </c>
      <c r="O190" t="str">
        <f>_xlfn.CONCAT("https://raw.githubusercontent.com/LaryBird12/geo-images/main/images/",Table_Master_Inventory[[#This Row],[Master Record ID]],".jpg")</f>
        <v>https://raw.githubusercontent.com/LaryBird12/geo-images/main/images/179.jpg</v>
      </c>
      <c r="P190" s="3"/>
      <c r="Q190" t="b">
        <v>1</v>
      </c>
      <c r="R190" t="b">
        <v>0</v>
      </c>
      <c r="S190" t="b">
        <v>0</v>
      </c>
      <c r="T190" t="b">
        <v>0</v>
      </c>
      <c r="U190" t="b">
        <v>0</v>
      </c>
      <c r="V190" t="b">
        <v>1</v>
      </c>
      <c r="W190" t="b">
        <v>0</v>
      </c>
    </row>
    <row r="191" spans="1:23" ht="14.25" hidden="1" x14ac:dyDescent="0.45">
      <c r="A191">
        <v>180</v>
      </c>
      <c r="B191" t="s">
        <v>474</v>
      </c>
      <c r="C191" t="s">
        <v>299</v>
      </c>
      <c r="D191" t="s">
        <v>475</v>
      </c>
      <c r="F191" s="2"/>
      <c r="I191"/>
      <c r="J191" s="2"/>
      <c r="K191" s="2">
        <v>50</v>
      </c>
      <c r="L191" s="2">
        <v>10</v>
      </c>
      <c r="M191" s="1"/>
      <c r="O191" t="str">
        <f>_xlfn.CONCAT("https://raw.githubusercontent.com/LaryBird12/geo-images/main/images/",Table_Master_Inventory[[#This Row],[Master Record ID]],".jpg")</f>
        <v>https://raw.githubusercontent.com/LaryBird12/geo-images/main/images/180.jpg</v>
      </c>
      <c r="P191" s="3"/>
      <c r="Q191" t="b">
        <v>1</v>
      </c>
      <c r="R191" t="b">
        <v>0</v>
      </c>
      <c r="S191" t="b">
        <v>0</v>
      </c>
      <c r="T191" t="b">
        <v>0</v>
      </c>
      <c r="U191" t="b">
        <v>0</v>
      </c>
      <c r="V191" t="b">
        <v>1</v>
      </c>
      <c r="W191" t="b">
        <v>0</v>
      </c>
    </row>
    <row r="192" spans="1:23" ht="14.25" hidden="1" x14ac:dyDescent="0.45">
      <c r="A192">
        <v>181</v>
      </c>
      <c r="B192" t="s">
        <v>476</v>
      </c>
      <c r="C192" t="s">
        <v>299</v>
      </c>
      <c r="D192" t="s">
        <v>475</v>
      </c>
      <c r="F192" s="2"/>
      <c r="I192"/>
      <c r="J192" s="2"/>
      <c r="K192" s="2">
        <v>50</v>
      </c>
      <c r="L192" s="2">
        <v>10</v>
      </c>
      <c r="M192" s="1"/>
      <c r="O192" t="str">
        <f>_xlfn.CONCAT("https://raw.githubusercontent.com/LaryBird12/geo-images/main/images/",Table_Master_Inventory[[#This Row],[Master Record ID]],".jpg")</f>
        <v>https://raw.githubusercontent.com/LaryBird12/geo-images/main/images/181.jpg</v>
      </c>
      <c r="P192" s="3"/>
      <c r="Q192" t="b">
        <v>1</v>
      </c>
      <c r="R192" t="b">
        <v>0</v>
      </c>
      <c r="S192" t="b">
        <v>0</v>
      </c>
      <c r="T192" t="b">
        <v>0</v>
      </c>
      <c r="U192" t="b">
        <v>0</v>
      </c>
      <c r="V192" t="b">
        <v>1</v>
      </c>
      <c r="W192" t="b">
        <v>0</v>
      </c>
    </row>
    <row r="193" spans="1:23" ht="14.25" hidden="1" x14ac:dyDescent="0.45">
      <c r="A193">
        <v>182</v>
      </c>
      <c r="B193" t="s">
        <v>477</v>
      </c>
      <c r="C193" t="s">
        <v>299</v>
      </c>
      <c r="D193" t="s">
        <v>475</v>
      </c>
      <c r="F193" s="2"/>
      <c r="I193"/>
      <c r="J193" s="2"/>
      <c r="K193" s="2">
        <v>200</v>
      </c>
      <c r="L193" s="2">
        <v>50</v>
      </c>
      <c r="M193" s="1"/>
      <c r="O193" t="str">
        <f>_xlfn.CONCAT("https://raw.githubusercontent.com/LaryBird12/geo-images/main/images/",Table_Master_Inventory[[#This Row],[Master Record ID]],".jpg")</f>
        <v>https://raw.githubusercontent.com/LaryBird12/geo-images/main/images/182.jpg</v>
      </c>
      <c r="P193" s="3"/>
      <c r="Q193" t="b">
        <v>1</v>
      </c>
      <c r="R193" t="b">
        <v>0</v>
      </c>
      <c r="S193" t="b">
        <v>0</v>
      </c>
      <c r="T193" t="b">
        <v>0</v>
      </c>
      <c r="U193" t="b">
        <v>0</v>
      </c>
      <c r="V193" t="b">
        <v>1</v>
      </c>
      <c r="W193" t="b">
        <v>0</v>
      </c>
    </row>
    <row r="194" spans="1:23" ht="14.25" hidden="1" x14ac:dyDescent="0.45">
      <c r="A194">
        <v>183</v>
      </c>
      <c r="B194" t="s">
        <v>478</v>
      </c>
      <c r="C194" t="s">
        <v>299</v>
      </c>
      <c r="D194" t="s">
        <v>475</v>
      </c>
      <c r="F194" s="2"/>
      <c r="I194"/>
      <c r="J194" s="2"/>
      <c r="K194" s="2">
        <v>200</v>
      </c>
      <c r="L194" s="2">
        <v>50</v>
      </c>
      <c r="M194" s="1"/>
      <c r="O194" t="str">
        <f>_xlfn.CONCAT("https://raw.githubusercontent.com/LaryBird12/geo-images/main/images/",Table_Master_Inventory[[#This Row],[Master Record ID]],".jpg")</f>
        <v>https://raw.githubusercontent.com/LaryBird12/geo-images/main/images/183.jpg</v>
      </c>
      <c r="P194" s="3"/>
      <c r="Q194" t="b">
        <v>1</v>
      </c>
      <c r="R194" t="b">
        <v>0</v>
      </c>
      <c r="S194" t="b">
        <v>0</v>
      </c>
      <c r="T194" t="b">
        <v>0</v>
      </c>
      <c r="U194" t="b">
        <v>0</v>
      </c>
      <c r="V194" t="b">
        <v>1</v>
      </c>
      <c r="W194" t="b">
        <v>0</v>
      </c>
    </row>
    <row r="195" spans="1:23" ht="14.25" hidden="1" x14ac:dyDescent="0.45">
      <c r="A195">
        <v>184</v>
      </c>
      <c r="B195" t="s">
        <v>479</v>
      </c>
      <c r="C195" t="s">
        <v>299</v>
      </c>
      <c r="D195" t="s">
        <v>475</v>
      </c>
      <c r="F195" s="2"/>
      <c r="I195"/>
      <c r="J195" s="2"/>
      <c r="K195" s="2">
        <v>200</v>
      </c>
      <c r="L195" s="2">
        <v>50</v>
      </c>
      <c r="M195" s="1"/>
      <c r="O195" t="str">
        <f>_xlfn.CONCAT("https://raw.githubusercontent.com/LaryBird12/geo-images/main/images/",Table_Master_Inventory[[#This Row],[Master Record ID]],".jpg")</f>
        <v>https://raw.githubusercontent.com/LaryBird12/geo-images/main/images/184.jpg</v>
      </c>
      <c r="P195" s="3"/>
      <c r="Q195" t="b">
        <v>1</v>
      </c>
      <c r="R195" t="b">
        <v>0</v>
      </c>
      <c r="S195" t="b">
        <v>0</v>
      </c>
      <c r="T195" t="b">
        <v>0</v>
      </c>
      <c r="U195" t="b">
        <v>0</v>
      </c>
      <c r="V195" t="b">
        <v>1</v>
      </c>
      <c r="W195" t="b">
        <v>0</v>
      </c>
    </row>
    <row r="196" spans="1:23" ht="14.25" hidden="1" x14ac:dyDescent="0.45">
      <c r="A196">
        <v>185</v>
      </c>
      <c r="B196" t="s">
        <v>480</v>
      </c>
      <c r="C196" t="s">
        <v>299</v>
      </c>
      <c r="D196" t="s">
        <v>475</v>
      </c>
      <c r="F196" s="2"/>
      <c r="I196"/>
      <c r="J196" s="2"/>
      <c r="K196" s="2">
        <v>200</v>
      </c>
      <c r="L196" s="2">
        <v>50</v>
      </c>
      <c r="M196" s="1"/>
      <c r="O196" t="str">
        <f>_xlfn.CONCAT("https://raw.githubusercontent.com/LaryBird12/geo-images/main/images/",Table_Master_Inventory[[#This Row],[Master Record ID]],".jpg")</f>
        <v>https://raw.githubusercontent.com/LaryBird12/geo-images/main/images/185.jpg</v>
      </c>
      <c r="P196" s="3"/>
      <c r="Q196" t="b">
        <v>1</v>
      </c>
      <c r="R196" t="b">
        <v>0</v>
      </c>
      <c r="S196" t="b">
        <v>0</v>
      </c>
      <c r="T196" t="b">
        <v>0</v>
      </c>
      <c r="U196" t="b">
        <v>0</v>
      </c>
      <c r="V196" t="b">
        <v>1</v>
      </c>
      <c r="W196" t="b">
        <v>0</v>
      </c>
    </row>
    <row r="197" spans="1:23" ht="14.25" hidden="1" x14ac:dyDescent="0.45">
      <c r="A197">
        <v>186</v>
      </c>
      <c r="B197" t="s">
        <v>481</v>
      </c>
      <c r="C197" t="s">
        <v>482</v>
      </c>
      <c r="D197" t="s">
        <v>483</v>
      </c>
      <c r="F197" s="2" t="s">
        <v>484</v>
      </c>
      <c r="I197" t="s">
        <v>29</v>
      </c>
      <c r="J197" s="2">
        <v>1001801632</v>
      </c>
      <c r="K197" s="2">
        <v>10</v>
      </c>
      <c r="L197" s="2">
        <v>9</v>
      </c>
      <c r="M197" s="1">
        <v>0.74</v>
      </c>
      <c r="O197" t="str">
        <f>_xlfn.CONCAT("https://raw.githubusercontent.com/LaryBird12/geo-images/main/images/",Table_Master_Inventory[[#This Row],[Master Record ID]],".jpg")</f>
        <v>https://raw.githubusercontent.com/LaryBird12/geo-images/main/images/186.jpg</v>
      </c>
      <c r="P197" s="3"/>
      <c r="Q197" t="b">
        <v>1</v>
      </c>
      <c r="R197" t="b">
        <v>0</v>
      </c>
      <c r="S197" t="b">
        <v>0</v>
      </c>
      <c r="T197" t="b">
        <v>0</v>
      </c>
      <c r="U197" t="b">
        <v>0</v>
      </c>
      <c r="V197" t="b">
        <v>1</v>
      </c>
      <c r="W197" t="b">
        <v>0</v>
      </c>
    </row>
    <row r="198" spans="1:23" ht="14.25" hidden="1" x14ac:dyDescent="0.45">
      <c r="A198">
        <v>187</v>
      </c>
      <c r="B198" t="s">
        <v>485</v>
      </c>
      <c r="C198" t="s">
        <v>482</v>
      </c>
      <c r="D198" t="s">
        <v>483</v>
      </c>
      <c r="F198" s="2" t="s">
        <v>484</v>
      </c>
      <c r="I198" t="s">
        <v>29</v>
      </c>
      <c r="J198" s="2">
        <v>1004676283</v>
      </c>
      <c r="K198" s="2">
        <v>12</v>
      </c>
      <c r="L198" s="2">
        <v>9</v>
      </c>
      <c r="M198" s="1">
        <v>0.74</v>
      </c>
      <c r="O198" t="str">
        <f>_xlfn.CONCAT("https://raw.githubusercontent.com/LaryBird12/geo-images/main/images/",Table_Master_Inventory[[#This Row],[Master Record ID]],".jpg")</f>
        <v>https://raw.githubusercontent.com/LaryBird12/geo-images/main/images/187.jpg</v>
      </c>
      <c r="P198" s="3"/>
      <c r="Q198" t="b">
        <v>1</v>
      </c>
      <c r="R198" t="b">
        <v>0</v>
      </c>
      <c r="S198" t="b">
        <v>0</v>
      </c>
      <c r="T198" t="b">
        <v>0</v>
      </c>
      <c r="U198" t="b">
        <v>0</v>
      </c>
      <c r="V198" t="b">
        <v>1</v>
      </c>
      <c r="W198" t="b">
        <v>0</v>
      </c>
    </row>
    <row r="199" spans="1:23" ht="14.25" hidden="1" x14ac:dyDescent="0.45">
      <c r="A199">
        <v>188</v>
      </c>
      <c r="B199" t="s">
        <v>486</v>
      </c>
      <c r="C199" t="s">
        <v>482</v>
      </c>
      <c r="D199" t="s">
        <v>483</v>
      </c>
      <c r="F199" s="2" t="s">
        <v>487</v>
      </c>
      <c r="I199" t="s">
        <v>29</v>
      </c>
      <c r="J199" s="2">
        <v>250355</v>
      </c>
      <c r="K199" s="2">
        <v>2</v>
      </c>
      <c r="L199" s="2">
        <v>1</v>
      </c>
      <c r="M199" s="1">
        <v>2.48</v>
      </c>
      <c r="O199" t="str">
        <f>_xlfn.CONCAT("https://raw.githubusercontent.com/LaryBird12/geo-images/main/images/",Table_Master_Inventory[[#This Row],[Master Record ID]],".jpg")</f>
        <v>https://raw.githubusercontent.com/LaryBird12/geo-images/main/images/188.jpg</v>
      </c>
      <c r="P199" s="3"/>
      <c r="Q199" t="b">
        <v>1</v>
      </c>
      <c r="R199" t="b">
        <v>0</v>
      </c>
      <c r="S199" t="b">
        <v>0</v>
      </c>
      <c r="T199" t="b">
        <v>0</v>
      </c>
      <c r="U199" t="b">
        <v>0</v>
      </c>
      <c r="V199" t="b">
        <v>1</v>
      </c>
      <c r="W199" t="b">
        <v>0</v>
      </c>
    </row>
    <row r="200" spans="1:23" ht="14.25" hidden="1" x14ac:dyDescent="0.45">
      <c r="A200">
        <v>189</v>
      </c>
      <c r="B200" t="s">
        <v>488</v>
      </c>
      <c r="C200" t="s">
        <v>482</v>
      </c>
      <c r="D200" t="s">
        <v>299</v>
      </c>
      <c r="F200" s="2" t="s">
        <v>415</v>
      </c>
      <c r="I200" t="s">
        <v>101</v>
      </c>
      <c r="J200" s="2" t="s">
        <v>489</v>
      </c>
      <c r="K200" s="2">
        <v>20</v>
      </c>
      <c r="L200" s="2">
        <v>10</v>
      </c>
      <c r="M200" s="1"/>
      <c r="O200" t="str">
        <f>_xlfn.CONCAT("https://raw.githubusercontent.com/LaryBird12/geo-images/main/images/",Table_Master_Inventory[[#This Row],[Master Record ID]],".jpg")</f>
        <v>https://raw.githubusercontent.com/LaryBird12/geo-images/main/images/189.jpg</v>
      </c>
      <c r="P200" s="3"/>
      <c r="Q200" t="b">
        <v>1</v>
      </c>
      <c r="R200" t="b">
        <v>0</v>
      </c>
      <c r="S200" t="b">
        <v>0</v>
      </c>
      <c r="T200" t="b">
        <v>0</v>
      </c>
      <c r="U200" t="b">
        <v>0</v>
      </c>
      <c r="V200" t="b">
        <v>1</v>
      </c>
      <c r="W200" t="b">
        <v>0</v>
      </c>
    </row>
    <row r="201" spans="1:23" ht="14.25" hidden="1" x14ac:dyDescent="0.45">
      <c r="A201">
        <v>190</v>
      </c>
      <c r="B201" t="s">
        <v>490</v>
      </c>
      <c r="C201" t="s">
        <v>482</v>
      </c>
      <c r="D201" t="s">
        <v>491</v>
      </c>
      <c r="F201" s="2"/>
      <c r="I201" t="s">
        <v>40</v>
      </c>
      <c r="J201" s="2">
        <v>30712</v>
      </c>
      <c r="K201" s="2">
        <v>3</v>
      </c>
      <c r="L201" s="2">
        <v>3</v>
      </c>
      <c r="M201" s="1">
        <v>0.46</v>
      </c>
      <c r="O201" t="str">
        <f>_xlfn.CONCAT("https://raw.githubusercontent.com/LaryBird12/geo-images/main/images/",Table_Master_Inventory[[#This Row],[Master Record ID]],".jpg")</f>
        <v>https://raw.githubusercontent.com/LaryBird12/geo-images/main/images/190.jpg</v>
      </c>
      <c r="P201" s="3"/>
      <c r="Q201" t="b">
        <v>1</v>
      </c>
      <c r="R201" t="b">
        <v>0</v>
      </c>
      <c r="S201" t="b">
        <v>0</v>
      </c>
      <c r="T201" t="b">
        <v>0</v>
      </c>
      <c r="U201" t="b">
        <v>0</v>
      </c>
      <c r="V201" t="b">
        <v>1</v>
      </c>
      <c r="W201" t="b">
        <v>0</v>
      </c>
    </row>
    <row r="202" spans="1:23" ht="14.25" hidden="1" x14ac:dyDescent="0.45">
      <c r="A202">
        <v>191</v>
      </c>
      <c r="B202" t="s">
        <v>492</v>
      </c>
      <c r="C202" t="s">
        <v>482</v>
      </c>
      <c r="D202" t="s">
        <v>491</v>
      </c>
      <c r="F202" s="2" t="s">
        <v>493</v>
      </c>
      <c r="I202" t="s">
        <v>494</v>
      </c>
      <c r="J202" s="2" t="s">
        <v>495</v>
      </c>
      <c r="K202" s="2">
        <v>1</v>
      </c>
      <c r="L202" s="2">
        <v>3</v>
      </c>
      <c r="M202" s="1"/>
      <c r="O202" t="str">
        <f>_xlfn.CONCAT("https://raw.githubusercontent.com/LaryBird12/geo-images/main/images/",Table_Master_Inventory[[#This Row],[Master Record ID]],".jpg")</f>
        <v>https://raw.githubusercontent.com/LaryBird12/geo-images/main/images/191.jpg</v>
      </c>
      <c r="P202" s="3"/>
      <c r="Q202" t="b">
        <v>1</v>
      </c>
      <c r="R202" t="b">
        <v>0</v>
      </c>
      <c r="S202" t="b">
        <v>0</v>
      </c>
      <c r="T202" t="b">
        <v>0</v>
      </c>
      <c r="U202" t="b">
        <v>0</v>
      </c>
      <c r="V202" t="b">
        <v>1</v>
      </c>
      <c r="W202" t="b">
        <v>0</v>
      </c>
    </row>
    <row r="203" spans="1:23" ht="14.25" hidden="1" x14ac:dyDescent="0.45">
      <c r="A203">
        <v>192</v>
      </c>
      <c r="B203" t="s">
        <v>496</v>
      </c>
      <c r="C203" t="s">
        <v>482</v>
      </c>
      <c r="D203" t="s">
        <v>299</v>
      </c>
      <c r="F203" s="2" t="s">
        <v>68</v>
      </c>
      <c r="I203" t="s">
        <v>40</v>
      </c>
      <c r="J203" s="2" t="s">
        <v>497</v>
      </c>
      <c r="K203" s="2">
        <v>10</v>
      </c>
      <c r="L203" s="2">
        <v>3</v>
      </c>
      <c r="M203" s="1">
        <v>2.84</v>
      </c>
      <c r="O203" t="str">
        <f>_xlfn.CONCAT("https://raw.githubusercontent.com/LaryBird12/geo-images/main/images/",Table_Master_Inventory[[#This Row],[Master Record ID]],".jpg")</f>
        <v>https://raw.githubusercontent.com/LaryBird12/geo-images/main/images/192.jpg</v>
      </c>
      <c r="P203" s="3"/>
      <c r="Q203" t="b">
        <v>1</v>
      </c>
      <c r="R203" t="b">
        <v>0</v>
      </c>
      <c r="S203" t="b">
        <v>0</v>
      </c>
      <c r="T203" t="b">
        <v>0</v>
      </c>
      <c r="U203" t="b">
        <v>0</v>
      </c>
      <c r="V203" t="b">
        <v>1</v>
      </c>
      <c r="W203" t="b">
        <v>0</v>
      </c>
    </row>
    <row r="204" spans="1:23" ht="14.25" hidden="1" x14ac:dyDescent="0.45">
      <c r="A204">
        <v>193</v>
      </c>
      <c r="B204" t="s">
        <v>498</v>
      </c>
      <c r="C204" t="s">
        <v>482</v>
      </c>
      <c r="D204" t="s">
        <v>499</v>
      </c>
      <c r="F204" s="2" t="s">
        <v>500</v>
      </c>
      <c r="I204" t="s">
        <v>29</v>
      </c>
      <c r="J204" s="2">
        <v>759837</v>
      </c>
      <c r="K204" s="2">
        <v>6</v>
      </c>
      <c r="L204" s="2">
        <v>3</v>
      </c>
      <c r="M204" s="1">
        <v>1.05</v>
      </c>
      <c r="N204" t="s">
        <v>501</v>
      </c>
      <c r="O204" t="str">
        <f>_xlfn.CONCAT("https://raw.githubusercontent.com/LaryBird12/geo-images/main/images/",Table_Master_Inventory[[#This Row],[Master Record ID]],".jpg")</f>
        <v>https://raw.githubusercontent.com/LaryBird12/geo-images/main/images/193.jpg</v>
      </c>
      <c r="P204" s="3"/>
      <c r="Q204" t="b">
        <v>1</v>
      </c>
      <c r="R204" t="b">
        <v>0</v>
      </c>
      <c r="S204" t="b">
        <v>0</v>
      </c>
      <c r="T204" t="b">
        <v>0</v>
      </c>
      <c r="U204" t="b">
        <v>0</v>
      </c>
      <c r="V204" t="b">
        <v>1</v>
      </c>
      <c r="W204" t="b">
        <v>0</v>
      </c>
    </row>
    <row r="205" spans="1:23" ht="14.25" hidden="1" x14ac:dyDescent="0.45">
      <c r="A205">
        <v>194</v>
      </c>
      <c r="B205" t="s">
        <v>502</v>
      </c>
      <c r="C205" t="s">
        <v>482</v>
      </c>
      <c r="D205" t="s">
        <v>299</v>
      </c>
      <c r="F205" s="2"/>
      <c r="I205"/>
      <c r="J205" s="2"/>
      <c r="K205" s="2">
        <v>4</v>
      </c>
      <c r="L205" s="2">
        <v>4</v>
      </c>
      <c r="M205" s="1"/>
      <c r="O205" t="str">
        <f>_xlfn.CONCAT("https://raw.githubusercontent.com/LaryBird12/geo-images/main/images/",Table_Master_Inventory[[#This Row],[Master Record ID]],".jpg")</f>
        <v>https://raw.githubusercontent.com/LaryBird12/geo-images/main/images/194.jpg</v>
      </c>
      <c r="P205" s="3"/>
      <c r="Q205" t="b">
        <v>1</v>
      </c>
      <c r="R205" t="b">
        <v>0</v>
      </c>
      <c r="S205" t="b">
        <v>0</v>
      </c>
      <c r="T205" t="b">
        <v>0</v>
      </c>
      <c r="U205" t="b">
        <v>0</v>
      </c>
      <c r="V205" t="b">
        <v>1</v>
      </c>
      <c r="W205" t="b">
        <v>0</v>
      </c>
    </row>
    <row r="206" spans="1:23" ht="14.25" hidden="1" x14ac:dyDescent="0.45">
      <c r="A206">
        <v>195</v>
      </c>
      <c r="B206" t="s">
        <v>503</v>
      </c>
      <c r="C206" t="s">
        <v>482</v>
      </c>
      <c r="D206" t="s">
        <v>499</v>
      </c>
      <c r="F206" s="2" t="s">
        <v>504</v>
      </c>
      <c r="I206" t="s">
        <v>505</v>
      </c>
      <c r="J206" s="2" t="s">
        <v>506</v>
      </c>
      <c r="K206" s="2">
        <v>1</v>
      </c>
      <c r="L206" s="2"/>
      <c r="M206" s="1"/>
      <c r="O206" t="str">
        <f>_xlfn.CONCAT("https://raw.githubusercontent.com/LaryBird12/geo-images/main/images/",Table_Master_Inventory[[#This Row],[Master Record ID]],".jpg")</f>
        <v>https://raw.githubusercontent.com/LaryBird12/geo-images/main/images/195.jpg</v>
      </c>
      <c r="P206" s="3"/>
      <c r="Q206" t="b">
        <v>1</v>
      </c>
      <c r="R206" t="b">
        <v>0</v>
      </c>
      <c r="S206" t="b">
        <v>0</v>
      </c>
      <c r="T206" t="b">
        <v>0</v>
      </c>
      <c r="U206" t="b">
        <v>0</v>
      </c>
      <c r="V206" t="b">
        <v>1</v>
      </c>
      <c r="W206" t="b">
        <v>0</v>
      </c>
    </row>
    <row r="207" spans="1:23" ht="14.25" hidden="1" x14ac:dyDescent="0.45">
      <c r="A207">
        <v>196</v>
      </c>
      <c r="B207" t="s">
        <v>507</v>
      </c>
      <c r="C207" t="s">
        <v>482</v>
      </c>
      <c r="D207" t="s">
        <v>491</v>
      </c>
      <c r="F207" s="2"/>
      <c r="I207" t="s">
        <v>29</v>
      </c>
      <c r="J207" s="2">
        <v>602226</v>
      </c>
      <c r="K207" s="2">
        <v>1</v>
      </c>
      <c r="L207" s="2">
        <v>3</v>
      </c>
      <c r="M207" s="1">
        <v>13.97</v>
      </c>
      <c r="O207" t="str">
        <f>_xlfn.CONCAT("https://raw.githubusercontent.com/LaryBird12/geo-images/main/images/",Table_Master_Inventory[[#This Row],[Master Record ID]],".jpg")</f>
        <v>https://raw.githubusercontent.com/LaryBird12/geo-images/main/images/196.jpg</v>
      </c>
      <c r="P207" s="3"/>
      <c r="Q207" t="b">
        <v>1</v>
      </c>
      <c r="R207" t="b">
        <v>0</v>
      </c>
      <c r="S207" t="b">
        <v>0</v>
      </c>
      <c r="T207" t="b">
        <v>0</v>
      </c>
      <c r="U207" t="b">
        <v>0</v>
      </c>
      <c r="V207" t="b">
        <v>1</v>
      </c>
      <c r="W207" t="b">
        <v>0</v>
      </c>
    </row>
    <row r="208" spans="1:23" ht="14.25" hidden="1" x14ac:dyDescent="0.45">
      <c r="A208">
        <v>197</v>
      </c>
      <c r="B208" t="s">
        <v>508</v>
      </c>
      <c r="C208" t="s">
        <v>482</v>
      </c>
      <c r="D208" t="s">
        <v>509</v>
      </c>
      <c r="F208" s="2" t="s">
        <v>510</v>
      </c>
      <c r="I208" t="s">
        <v>29</v>
      </c>
      <c r="J208" s="2">
        <v>313610646</v>
      </c>
      <c r="K208" s="2">
        <v>25</v>
      </c>
      <c r="L208" s="2">
        <v>10</v>
      </c>
      <c r="M208" s="1">
        <v>0.83</v>
      </c>
      <c r="N208" t="s">
        <v>31</v>
      </c>
      <c r="O208" t="str">
        <f>_xlfn.CONCAT("https://raw.githubusercontent.com/LaryBird12/geo-images/main/images/",Table_Master_Inventory[[#This Row],[Master Record ID]],".jpg")</f>
        <v>https://raw.githubusercontent.com/LaryBird12/geo-images/main/images/197.jpg</v>
      </c>
      <c r="P208" s="3"/>
      <c r="Q208" t="b">
        <v>1</v>
      </c>
      <c r="R208" t="b">
        <v>0</v>
      </c>
      <c r="S208" t="b">
        <v>0</v>
      </c>
      <c r="T208" t="b">
        <v>0</v>
      </c>
      <c r="U208" t="b">
        <v>0</v>
      </c>
      <c r="V208" t="b">
        <v>1</v>
      </c>
      <c r="W208" t="b">
        <v>0</v>
      </c>
    </row>
    <row r="209" spans="1:23" ht="14.25" hidden="1" x14ac:dyDescent="0.45">
      <c r="A209">
        <v>198</v>
      </c>
      <c r="B209" t="s">
        <v>511</v>
      </c>
      <c r="C209" t="s">
        <v>482</v>
      </c>
      <c r="D209" t="s">
        <v>509</v>
      </c>
      <c r="F209" s="2"/>
      <c r="I209" t="s">
        <v>505</v>
      </c>
      <c r="J209" s="2"/>
      <c r="K209" s="2">
        <v>3</v>
      </c>
      <c r="L209" s="2">
        <v>3</v>
      </c>
      <c r="M209" s="1"/>
      <c r="O209" t="str">
        <f>_xlfn.CONCAT("https://raw.githubusercontent.com/LaryBird12/geo-images/main/images/",Table_Master_Inventory[[#This Row],[Master Record ID]],".jpg")</f>
        <v>https://raw.githubusercontent.com/LaryBird12/geo-images/main/images/198.jpg</v>
      </c>
      <c r="P209" s="3"/>
      <c r="Q209" t="b">
        <v>1</v>
      </c>
      <c r="R209" t="b">
        <v>0</v>
      </c>
      <c r="S209" t="b">
        <v>0</v>
      </c>
      <c r="T209" t="b">
        <v>0</v>
      </c>
      <c r="U209" t="b">
        <v>0</v>
      </c>
      <c r="V209" t="b">
        <v>1</v>
      </c>
      <c r="W209" t="b">
        <v>0</v>
      </c>
    </row>
    <row r="210" spans="1:23" ht="14.25" hidden="1" x14ac:dyDescent="0.45">
      <c r="A210">
        <v>199</v>
      </c>
      <c r="B210" t="s">
        <v>512</v>
      </c>
      <c r="C210" t="s">
        <v>482</v>
      </c>
      <c r="D210" t="s">
        <v>509</v>
      </c>
      <c r="F210" s="2"/>
      <c r="I210" t="s">
        <v>29</v>
      </c>
      <c r="J210" s="2">
        <v>10222</v>
      </c>
      <c r="K210" s="2">
        <v>3</v>
      </c>
      <c r="L210" s="2">
        <v>3</v>
      </c>
      <c r="M210" s="1">
        <v>0.34</v>
      </c>
      <c r="N210" t="s">
        <v>31</v>
      </c>
      <c r="O210" t="str">
        <f>_xlfn.CONCAT("https://raw.githubusercontent.com/LaryBird12/geo-images/main/images/",Table_Master_Inventory[[#This Row],[Master Record ID]],".jpg")</f>
        <v>https://raw.githubusercontent.com/LaryBird12/geo-images/main/images/199.jpg</v>
      </c>
      <c r="P210" s="3"/>
      <c r="Q210" t="b">
        <v>1</v>
      </c>
      <c r="R210" t="b">
        <v>0</v>
      </c>
      <c r="S210" t="b">
        <v>0</v>
      </c>
      <c r="T210" t="b">
        <v>0</v>
      </c>
      <c r="U210" t="b">
        <v>0</v>
      </c>
      <c r="V210" t="b">
        <v>1</v>
      </c>
      <c r="W210" t="b">
        <v>0</v>
      </c>
    </row>
    <row r="211" spans="1:23" ht="14.25" hidden="1" x14ac:dyDescent="0.45">
      <c r="A211">
        <v>200</v>
      </c>
      <c r="B211" t="s">
        <v>513</v>
      </c>
      <c r="C211" t="s">
        <v>482</v>
      </c>
      <c r="D211" t="s">
        <v>509</v>
      </c>
      <c r="F211" s="2"/>
      <c r="I211" t="s">
        <v>505</v>
      </c>
      <c r="J211" s="2" t="s">
        <v>514</v>
      </c>
      <c r="K211" s="2">
        <v>25</v>
      </c>
      <c r="L211" s="2">
        <v>10</v>
      </c>
      <c r="M211" s="1"/>
      <c r="O211" t="str">
        <f>_xlfn.CONCAT("https://raw.githubusercontent.com/LaryBird12/geo-images/main/images/",Table_Master_Inventory[[#This Row],[Master Record ID]],".jpg")</f>
        <v>https://raw.githubusercontent.com/LaryBird12/geo-images/main/images/200.jpg</v>
      </c>
      <c r="P211" s="3"/>
      <c r="Q211" t="b">
        <v>1</v>
      </c>
      <c r="R211" t="b">
        <v>0</v>
      </c>
      <c r="S211" t="b">
        <v>0</v>
      </c>
      <c r="T211" t="b">
        <v>0</v>
      </c>
      <c r="U211" t="b">
        <v>0</v>
      </c>
      <c r="V211" t="b">
        <v>1</v>
      </c>
      <c r="W211" t="b">
        <v>0</v>
      </c>
    </row>
    <row r="212" spans="1:23" ht="14.25" hidden="1" x14ac:dyDescent="0.45">
      <c r="A212">
        <v>201</v>
      </c>
      <c r="B212" t="s">
        <v>515</v>
      </c>
      <c r="C212" t="s">
        <v>482</v>
      </c>
      <c r="D212" t="s">
        <v>499</v>
      </c>
      <c r="F212" s="2" t="s">
        <v>504</v>
      </c>
      <c r="I212" t="s">
        <v>40</v>
      </c>
      <c r="J212" s="2">
        <v>60003</v>
      </c>
      <c r="K212" s="2">
        <v>3</v>
      </c>
      <c r="L212" s="2">
        <v>3</v>
      </c>
      <c r="M212" s="1">
        <v>5.92</v>
      </c>
      <c r="O212" t="str">
        <f>_xlfn.CONCAT("https://raw.githubusercontent.com/LaryBird12/geo-images/main/images/",Table_Master_Inventory[[#This Row],[Master Record ID]],".jpg")</f>
        <v>https://raw.githubusercontent.com/LaryBird12/geo-images/main/images/201.jpg</v>
      </c>
      <c r="P212" s="3"/>
      <c r="Q212" t="b">
        <v>1</v>
      </c>
      <c r="R212" t="b">
        <v>0</v>
      </c>
      <c r="S212" t="b">
        <v>0</v>
      </c>
      <c r="T212" t="b">
        <v>0</v>
      </c>
      <c r="U212" t="b">
        <v>0</v>
      </c>
      <c r="V212" t="b">
        <v>1</v>
      </c>
      <c r="W212" t="b">
        <v>0</v>
      </c>
    </row>
    <row r="213" spans="1:23" ht="14.25" hidden="1" x14ac:dyDescent="0.45">
      <c r="A213">
        <v>202</v>
      </c>
      <c r="B213" t="s">
        <v>516</v>
      </c>
      <c r="C213" t="s">
        <v>482</v>
      </c>
      <c r="D213" t="s">
        <v>499</v>
      </c>
      <c r="F213" s="2" t="s">
        <v>504</v>
      </c>
      <c r="I213" t="s">
        <v>40</v>
      </c>
      <c r="J213" s="2">
        <v>60453</v>
      </c>
      <c r="K213" s="2">
        <v>3</v>
      </c>
      <c r="L213" s="2">
        <v>3</v>
      </c>
      <c r="M213" s="1">
        <v>6.23</v>
      </c>
      <c r="O213" t="str">
        <f>_xlfn.CONCAT("https://raw.githubusercontent.com/LaryBird12/geo-images/main/images/",Table_Master_Inventory[[#This Row],[Master Record ID]],".jpg")</f>
        <v>https://raw.githubusercontent.com/LaryBird12/geo-images/main/images/202.jpg</v>
      </c>
      <c r="P213" s="3"/>
      <c r="Q213" t="b">
        <v>1</v>
      </c>
      <c r="R213" t="b">
        <v>0</v>
      </c>
      <c r="S213" t="b">
        <v>0</v>
      </c>
      <c r="T213" t="b">
        <v>0</v>
      </c>
      <c r="U213" t="b">
        <v>0</v>
      </c>
      <c r="V213" t="b">
        <v>1</v>
      </c>
      <c r="W213" t="b">
        <v>0</v>
      </c>
    </row>
    <row r="214" spans="1:23" ht="14.25" hidden="1" x14ac:dyDescent="0.45">
      <c r="A214">
        <v>203</v>
      </c>
      <c r="B214" t="s">
        <v>517</v>
      </c>
      <c r="C214" t="s">
        <v>482</v>
      </c>
      <c r="D214" t="s">
        <v>491</v>
      </c>
      <c r="F214" s="2"/>
      <c r="I214" t="s">
        <v>40</v>
      </c>
      <c r="J214" s="2">
        <v>31321</v>
      </c>
      <c r="K214" s="2">
        <v>1</v>
      </c>
      <c r="L214" s="2">
        <v>3</v>
      </c>
      <c r="M214" s="1">
        <v>1</v>
      </c>
      <c r="N214" t="s">
        <v>518</v>
      </c>
      <c r="O214" t="str">
        <f>_xlfn.CONCAT("https://raw.githubusercontent.com/LaryBird12/geo-images/main/images/",Table_Master_Inventory[[#This Row],[Master Record ID]],".jpg")</f>
        <v>https://raw.githubusercontent.com/LaryBird12/geo-images/main/images/203.jpg</v>
      </c>
      <c r="P214" s="3"/>
      <c r="Q214" t="b">
        <v>1</v>
      </c>
      <c r="R214" t="b">
        <v>0</v>
      </c>
      <c r="S214" t="b">
        <v>0</v>
      </c>
      <c r="T214" t="b">
        <v>0</v>
      </c>
      <c r="U214" t="b">
        <v>0</v>
      </c>
      <c r="V214" t="b">
        <v>1</v>
      </c>
      <c r="W214" t="b">
        <v>0</v>
      </c>
    </row>
    <row r="215" spans="1:23" ht="14.25" hidden="1" x14ac:dyDescent="0.45">
      <c r="A215">
        <v>204</v>
      </c>
      <c r="B215" t="s">
        <v>519</v>
      </c>
      <c r="C215" t="s">
        <v>482</v>
      </c>
      <c r="D215" t="s">
        <v>499</v>
      </c>
      <c r="F215" s="2" t="s">
        <v>520</v>
      </c>
      <c r="I215" t="s">
        <v>101</v>
      </c>
      <c r="J215" s="2" t="s">
        <v>521</v>
      </c>
      <c r="K215" s="2">
        <v>12</v>
      </c>
      <c r="L215" s="2">
        <v>3</v>
      </c>
      <c r="M215" s="1"/>
      <c r="O215" t="str">
        <f>_xlfn.CONCAT("https://raw.githubusercontent.com/LaryBird12/geo-images/main/images/",Table_Master_Inventory[[#This Row],[Master Record ID]],".jpg")</f>
        <v>https://raw.githubusercontent.com/LaryBird12/geo-images/main/images/204.jpg</v>
      </c>
      <c r="P215" s="3"/>
      <c r="Q215" t="b">
        <v>1</v>
      </c>
      <c r="R215" t="b">
        <v>0</v>
      </c>
      <c r="S215" t="b">
        <v>0</v>
      </c>
      <c r="T215" t="b">
        <v>0</v>
      </c>
      <c r="U215" t="b">
        <v>0</v>
      </c>
      <c r="V215" t="b">
        <v>1</v>
      </c>
      <c r="W215" t="b">
        <v>0</v>
      </c>
    </row>
    <row r="216" spans="1:23" ht="14.25" hidden="1" x14ac:dyDescent="0.45">
      <c r="A216">
        <v>205</v>
      </c>
      <c r="B216" t="s">
        <v>522</v>
      </c>
      <c r="C216" t="s">
        <v>482</v>
      </c>
      <c r="D216" t="s">
        <v>491</v>
      </c>
      <c r="F216" s="2" t="s">
        <v>523</v>
      </c>
      <c r="I216" t="s">
        <v>40</v>
      </c>
      <c r="J216" s="2">
        <v>331760</v>
      </c>
      <c r="K216" s="2">
        <v>1</v>
      </c>
      <c r="L216" s="2">
        <v>3</v>
      </c>
      <c r="M216" s="1">
        <v>22.6</v>
      </c>
      <c r="O216" t="str">
        <f>_xlfn.CONCAT("https://raw.githubusercontent.com/LaryBird12/geo-images/main/images/",Table_Master_Inventory[[#This Row],[Master Record ID]],".jpg")</f>
        <v>https://raw.githubusercontent.com/LaryBird12/geo-images/main/images/205.jpg</v>
      </c>
      <c r="P216" s="3"/>
      <c r="Q216" t="b">
        <v>1</v>
      </c>
      <c r="R216" t="b">
        <v>0</v>
      </c>
      <c r="S216" t="b">
        <v>0</v>
      </c>
      <c r="T216" t="b">
        <v>0</v>
      </c>
      <c r="U216" t="b">
        <v>0</v>
      </c>
      <c r="V216" t="b">
        <v>1</v>
      </c>
      <c r="W216" t="b">
        <v>0</v>
      </c>
    </row>
    <row r="217" spans="1:23" ht="14.25" hidden="1" x14ac:dyDescent="0.45">
      <c r="A217">
        <v>206</v>
      </c>
      <c r="B217" t="s">
        <v>524</v>
      </c>
      <c r="C217" t="s">
        <v>482</v>
      </c>
      <c r="D217" t="s">
        <v>499</v>
      </c>
      <c r="F217" s="2" t="s">
        <v>525</v>
      </c>
      <c r="I217" t="s">
        <v>29</v>
      </c>
      <c r="J217" s="2">
        <v>99053992</v>
      </c>
      <c r="K217" s="2">
        <v>12</v>
      </c>
      <c r="L217" s="2">
        <v>6</v>
      </c>
      <c r="M217" s="1"/>
      <c r="O217" t="str">
        <f>_xlfn.CONCAT("https://raw.githubusercontent.com/LaryBird12/geo-images/main/images/",Table_Master_Inventory[[#This Row],[Master Record ID]],".jpg")</f>
        <v>https://raw.githubusercontent.com/LaryBird12/geo-images/main/images/206.jpg</v>
      </c>
      <c r="P217" s="3"/>
      <c r="Q217" t="b">
        <v>1</v>
      </c>
      <c r="R217" t="b">
        <v>0</v>
      </c>
      <c r="S217" t="b">
        <v>0</v>
      </c>
      <c r="T217" t="b">
        <v>0</v>
      </c>
      <c r="U217" t="b">
        <v>0</v>
      </c>
      <c r="V217" t="b">
        <v>1</v>
      </c>
      <c r="W217" t="b">
        <v>0</v>
      </c>
    </row>
    <row r="218" spans="1:23" ht="14.25" hidden="1" x14ac:dyDescent="0.45">
      <c r="A218">
        <v>207</v>
      </c>
      <c r="B218" t="s">
        <v>526</v>
      </c>
      <c r="C218" t="s">
        <v>482</v>
      </c>
      <c r="D218" t="s">
        <v>499</v>
      </c>
      <c r="F218" s="2" t="s">
        <v>525</v>
      </c>
      <c r="I218" t="s">
        <v>29</v>
      </c>
      <c r="J218" s="2">
        <v>99053938</v>
      </c>
      <c r="K218" s="2">
        <v>12</v>
      </c>
      <c r="L218" s="2">
        <v>6</v>
      </c>
      <c r="M218" s="1"/>
      <c r="O218" t="str">
        <f>_xlfn.CONCAT("https://raw.githubusercontent.com/LaryBird12/geo-images/main/images/",Table_Master_Inventory[[#This Row],[Master Record ID]],".jpg")</f>
        <v>https://raw.githubusercontent.com/LaryBird12/geo-images/main/images/207.jpg</v>
      </c>
      <c r="P218" s="3"/>
      <c r="Q218" t="b">
        <v>1</v>
      </c>
      <c r="R218" t="b">
        <v>0</v>
      </c>
      <c r="S218" t="b">
        <v>0</v>
      </c>
      <c r="T218" t="b">
        <v>0</v>
      </c>
      <c r="U218" t="b">
        <v>0</v>
      </c>
      <c r="V218" t="b">
        <v>1</v>
      </c>
      <c r="W218" t="b">
        <v>0</v>
      </c>
    </row>
    <row r="219" spans="1:23" ht="14.25" hidden="1" x14ac:dyDescent="0.45">
      <c r="A219">
        <v>208</v>
      </c>
      <c r="B219" t="s">
        <v>527</v>
      </c>
      <c r="C219" t="s">
        <v>482</v>
      </c>
      <c r="D219" t="s">
        <v>528</v>
      </c>
      <c r="F219" s="2" t="s">
        <v>529</v>
      </c>
      <c r="I219" t="s">
        <v>505</v>
      </c>
      <c r="J219" s="2" t="s">
        <v>530</v>
      </c>
      <c r="K219" s="2" t="s">
        <v>531</v>
      </c>
      <c r="L219" s="2"/>
      <c r="M219" s="1"/>
      <c r="O219" t="str">
        <f>_xlfn.CONCAT("https://raw.githubusercontent.com/LaryBird12/geo-images/main/images/",Table_Master_Inventory[[#This Row],[Master Record ID]],".jpg")</f>
        <v>https://raw.githubusercontent.com/LaryBird12/geo-images/main/images/208.jpg</v>
      </c>
      <c r="P219" s="3"/>
      <c r="Q219" t="b">
        <v>1</v>
      </c>
      <c r="R219" t="b">
        <v>0</v>
      </c>
      <c r="S219" t="b">
        <v>0</v>
      </c>
      <c r="T219" t="b">
        <v>0</v>
      </c>
      <c r="U219" t="b">
        <v>0</v>
      </c>
      <c r="V219" t="b">
        <v>1</v>
      </c>
      <c r="W219" t="b">
        <v>0</v>
      </c>
    </row>
    <row r="220" spans="1:23" ht="14.25" hidden="1" x14ac:dyDescent="0.45">
      <c r="A220">
        <v>209</v>
      </c>
      <c r="B220" t="s">
        <v>532</v>
      </c>
      <c r="C220" t="s">
        <v>482</v>
      </c>
      <c r="D220" t="s">
        <v>528</v>
      </c>
      <c r="F220" s="2" t="s">
        <v>533</v>
      </c>
      <c r="I220" t="s">
        <v>29</v>
      </c>
      <c r="J220" s="2">
        <v>1000021559</v>
      </c>
      <c r="K220" s="2" t="s">
        <v>534</v>
      </c>
      <c r="L220" s="2"/>
      <c r="M220" s="1">
        <v>8.99</v>
      </c>
      <c r="O220" t="str">
        <f>_xlfn.CONCAT("https://raw.githubusercontent.com/LaryBird12/geo-images/main/images/",Table_Master_Inventory[[#This Row],[Master Record ID]],".jpg")</f>
        <v>https://raw.githubusercontent.com/LaryBird12/geo-images/main/images/209.jpg</v>
      </c>
      <c r="P220" s="3"/>
      <c r="Q220" t="b">
        <v>1</v>
      </c>
      <c r="R220" t="b">
        <v>0</v>
      </c>
      <c r="S220" t="b">
        <v>0</v>
      </c>
      <c r="T220" t="b">
        <v>0</v>
      </c>
      <c r="U220" t="b">
        <v>0</v>
      </c>
      <c r="V220" t="b">
        <v>1</v>
      </c>
      <c r="W220" t="b">
        <v>0</v>
      </c>
    </row>
    <row r="221" spans="1:23" ht="14.25" hidden="1" x14ac:dyDescent="0.45">
      <c r="A221">
        <v>210</v>
      </c>
      <c r="B221" t="s">
        <v>535</v>
      </c>
      <c r="C221" t="s">
        <v>482</v>
      </c>
      <c r="D221" t="s">
        <v>528</v>
      </c>
      <c r="F221" s="2" t="s">
        <v>536</v>
      </c>
      <c r="I221" t="s">
        <v>29</v>
      </c>
      <c r="J221" s="2">
        <v>915147</v>
      </c>
      <c r="K221" s="2" t="s">
        <v>537</v>
      </c>
      <c r="L221" s="2" t="s">
        <v>363</v>
      </c>
      <c r="M221" s="1">
        <v>5.98</v>
      </c>
      <c r="O221" t="str">
        <f>_xlfn.CONCAT("https://raw.githubusercontent.com/LaryBird12/geo-images/main/images/",Table_Master_Inventory[[#This Row],[Master Record ID]],".jpg")</f>
        <v>https://raw.githubusercontent.com/LaryBird12/geo-images/main/images/210.jpg</v>
      </c>
      <c r="P221" s="3"/>
      <c r="Q221" t="b">
        <v>1</v>
      </c>
      <c r="R221" t="b">
        <v>0</v>
      </c>
      <c r="S221" t="b">
        <v>0</v>
      </c>
      <c r="T221" t="b">
        <v>0</v>
      </c>
      <c r="U221" t="b">
        <v>0</v>
      </c>
      <c r="V221" t="b">
        <v>1</v>
      </c>
      <c r="W221" t="b">
        <v>0</v>
      </c>
    </row>
    <row r="222" spans="1:23" ht="14.25" hidden="1" x14ac:dyDescent="0.45">
      <c r="A222">
        <v>211</v>
      </c>
      <c r="B222" t="s">
        <v>538</v>
      </c>
      <c r="C222" t="s">
        <v>482</v>
      </c>
      <c r="D222" t="s">
        <v>528</v>
      </c>
      <c r="F222" s="2" t="s">
        <v>539</v>
      </c>
      <c r="I222" t="s">
        <v>29</v>
      </c>
      <c r="J222" s="2">
        <v>700710</v>
      </c>
      <c r="K222" s="2" t="s">
        <v>534</v>
      </c>
      <c r="L222" s="2"/>
      <c r="M222" s="1">
        <v>6.97</v>
      </c>
      <c r="O222" t="str">
        <f>_xlfn.CONCAT("https://raw.githubusercontent.com/LaryBird12/geo-images/main/images/",Table_Master_Inventory[[#This Row],[Master Record ID]],".jpg")</f>
        <v>https://raw.githubusercontent.com/LaryBird12/geo-images/main/images/211.jpg</v>
      </c>
      <c r="P222" s="3"/>
      <c r="Q222" t="b">
        <v>1</v>
      </c>
      <c r="R222" t="b">
        <v>0</v>
      </c>
      <c r="S222" t="b">
        <v>0</v>
      </c>
      <c r="T222" t="b">
        <v>0</v>
      </c>
      <c r="U222" t="b">
        <v>0</v>
      </c>
      <c r="V222" t="b">
        <v>1</v>
      </c>
      <c r="W222" t="b">
        <v>0</v>
      </c>
    </row>
    <row r="223" spans="1:23" ht="14.25" hidden="1" x14ac:dyDescent="0.45">
      <c r="A223">
        <v>212</v>
      </c>
      <c r="B223" t="s">
        <v>540</v>
      </c>
      <c r="C223" t="s">
        <v>482</v>
      </c>
      <c r="D223" t="s">
        <v>528</v>
      </c>
      <c r="F223" s="2" t="s">
        <v>541</v>
      </c>
      <c r="I223" t="s">
        <v>101</v>
      </c>
      <c r="J223" s="2">
        <v>7563</v>
      </c>
      <c r="K223" s="2">
        <v>6</v>
      </c>
      <c r="L223" s="2">
        <v>6</v>
      </c>
      <c r="M223" s="1">
        <v>18.54</v>
      </c>
      <c r="O223" t="str">
        <f>_xlfn.CONCAT("https://raw.githubusercontent.com/LaryBird12/geo-images/main/images/",Table_Master_Inventory[[#This Row],[Master Record ID]],".jpg")</f>
        <v>https://raw.githubusercontent.com/LaryBird12/geo-images/main/images/212.jpg</v>
      </c>
      <c r="P223" s="3"/>
      <c r="Q223" t="b">
        <v>1</v>
      </c>
      <c r="R223" t="b">
        <v>0</v>
      </c>
      <c r="S223" t="b">
        <v>0</v>
      </c>
      <c r="T223" t="b">
        <v>0</v>
      </c>
      <c r="U223" t="b">
        <v>0</v>
      </c>
      <c r="V223" t="b">
        <v>1</v>
      </c>
      <c r="W223" t="b">
        <v>0</v>
      </c>
    </row>
    <row r="224" spans="1:23" ht="14.25" hidden="1" x14ac:dyDescent="0.45">
      <c r="A224">
        <v>213</v>
      </c>
      <c r="B224" t="s">
        <v>542</v>
      </c>
      <c r="C224" t="s">
        <v>482</v>
      </c>
      <c r="D224" t="s">
        <v>528</v>
      </c>
      <c r="F224" s="2" t="s">
        <v>543</v>
      </c>
      <c r="I224" t="s">
        <v>544</v>
      </c>
      <c r="J224" s="2" t="s">
        <v>545</v>
      </c>
      <c r="K224" s="2">
        <v>12</v>
      </c>
      <c r="L224" s="2">
        <v>6</v>
      </c>
      <c r="M224" s="1"/>
      <c r="O224" t="str">
        <f>_xlfn.CONCAT("https://raw.githubusercontent.com/LaryBird12/geo-images/main/images/",Table_Master_Inventory[[#This Row],[Master Record ID]],".jpg")</f>
        <v>https://raw.githubusercontent.com/LaryBird12/geo-images/main/images/213.jpg</v>
      </c>
      <c r="P224" s="3"/>
      <c r="Q224" t="b">
        <v>1</v>
      </c>
      <c r="R224" t="b">
        <v>0</v>
      </c>
      <c r="S224" t="b">
        <v>0</v>
      </c>
      <c r="T224" t="b">
        <v>0</v>
      </c>
      <c r="U224" t="b">
        <v>0</v>
      </c>
      <c r="V224" t="b">
        <v>1</v>
      </c>
      <c r="W224" t="b">
        <v>0</v>
      </c>
    </row>
    <row r="225" spans="1:23" ht="14.25" hidden="1" x14ac:dyDescent="0.45">
      <c r="A225">
        <v>214</v>
      </c>
      <c r="B225" t="s">
        <v>546</v>
      </c>
      <c r="C225" t="s">
        <v>482</v>
      </c>
      <c r="D225" t="s">
        <v>528</v>
      </c>
      <c r="F225" s="2" t="s">
        <v>547</v>
      </c>
      <c r="I225" t="s">
        <v>29</v>
      </c>
      <c r="J225" s="2">
        <v>238616</v>
      </c>
      <c r="K225" s="2">
        <v>3</v>
      </c>
      <c r="L225" s="2">
        <v>3</v>
      </c>
      <c r="M225" s="1">
        <v>6.21</v>
      </c>
      <c r="O225" t="str">
        <f>_xlfn.CONCAT("https://raw.githubusercontent.com/LaryBird12/geo-images/main/images/",Table_Master_Inventory[[#This Row],[Master Record ID]],".jpg")</f>
        <v>https://raw.githubusercontent.com/LaryBird12/geo-images/main/images/214.jpg</v>
      </c>
      <c r="P225" s="3"/>
      <c r="Q225" t="b">
        <v>1</v>
      </c>
      <c r="R225" t="b">
        <v>0</v>
      </c>
      <c r="S225" t="b">
        <v>0</v>
      </c>
      <c r="T225" t="b">
        <v>0</v>
      </c>
      <c r="U225" t="b">
        <v>0</v>
      </c>
      <c r="V225" t="b">
        <v>1</v>
      </c>
      <c r="W225" t="b">
        <v>0</v>
      </c>
    </row>
    <row r="226" spans="1:23" ht="14.25" hidden="1" x14ac:dyDescent="0.45">
      <c r="A226">
        <v>215</v>
      </c>
      <c r="B226" t="s">
        <v>548</v>
      </c>
      <c r="C226" t="s">
        <v>482</v>
      </c>
      <c r="D226" t="s">
        <v>528</v>
      </c>
      <c r="F226" s="2" t="s">
        <v>541</v>
      </c>
      <c r="I226" t="s">
        <v>101</v>
      </c>
      <c r="J226" s="2" t="s">
        <v>549</v>
      </c>
      <c r="K226" s="2">
        <v>3</v>
      </c>
      <c r="L226" s="2">
        <v>3</v>
      </c>
      <c r="M226" s="1">
        <v>24.38</v>
      </c>
      <c r="O226" t="str">
        <f>_xlfn.CONCAT("https://raw.githubusercontent.com/LaryBird12/geo-images/main/images/",Table_Master_Inventory[[#This Row],[Master Record ID]],".jpg")</f>
        <v>https://raw.githubusercontent.com/LaryBird12/geo-images/main/images/215.jpg</v>
      </c>
      <c r="P226" s="3"/>
      <c r="Q226" t="b">
        <v>1</v>
      </c>
      <c r="R226" t="b">
        <v>0</v>
      </c>
      <c r="S226" t="b">
        <v>0</v>
      </c>
      <c r="T226" t="b">
        <v>0</v>
      </c>
      <c r="U226" t="b">
        <v>0</v>
      </c>
      <c r="V226" t="b">
        <v>1</v>
      </c>
      <c r="W226" t="b">
        <v>0</v>
      </c>
    </row>
    <row r="227" spans="1:23" ht="14.25" hidden="1" x14ac:dyDescent="0.45">
      <c r="A227">
        <v>216</v>
      </c>
      <c r="B227" t="s">
        <v>550</v>
      </c>
      <c r="C227" t="s">
        <v>482</v>
      </c>
      <c r="D227" t="s">
        <v>528</v>
      </c>
      <c r="F227" s="2" t="s">
        <v>135</v>
      </c>
      <c r="I227" t="s">
        <v>40</v>
      </c>
      <c r="J227" s="2">
        <v>70885</v>
      </c>
      <c r="K227" s="2">
        <v>3</v>
      </c>
      <c r="L227" s="2">
        <v>3</v>
      </c>
      <c r="M227" s="1">
        <v>3.09</v>
      </c>
      <c r="O227" t="str">
        <f>_xlfn.CONCAT("https://raw.githubusercontent.com/LaryBird12/geo-images/main/images/",Table_Master_Inventory[[#This Row],[Master Record ID]],".jpg")</f>
        <v>https://raw.githubusercontent.com/LaryBird12/geo-images/main/images/216.jpg</v>
      </c>
      <c r="P227" s="3"/>
      <c r="Q227" t="b">
        <v>1</v>
      </c>
      <c r="R227" t="b">
        <v>0</v>
      </c>
      <c r="S227" t="b">
        <v>0</v>
      </c>
      <c r="T227" t="b">
        <v>0</v>
      </c>
      <c r="U227" t="b">
        <v>0</v>
      </c>
      <c r="V227" t="b">
        <v>1</v>
      </c>
      <c r="W227" t="b">
        <v>0</v>
      </c>
    </row>
    <row r="228" spans="1:23" ht="14.25" hidden="1" x14ac:dyDescent="0.45">
      <c r="A228">
        <v>217</v>
      </c>
      <c r="B228" t="s">
        <v>551</v>
      </c>
      <c r="C228" t="s">
        <v>482</v>
      </c>
      <c r="D228" t="s">
        <v>528</v>
      </c>
      <c r="F228" s="2" t="s">
        <v>68</v>
      </c>
      <c r="I228" t="s">
        <v>40</v>
      </c>
      <c r="J228" s="2">
        <v>70886</v>
      </c>
      <c r="K228" s="2">
        <v>3</v>
      </c>
      <c r="L228" s="2">
        <v>3</v>
      </c>
      <c r="M228" s="1">
        <v>3.59</v>
      </c>
      <c r="O228" t="str">
        <f>_xlfn.CONCAT("https://raw.githubusercontent.com/LaryBird12/geo-images/main/images/",Table_Master_Inventory[[#This Row],[Master Record ID]],".jpg")</f>
        <v>https://raw.githubusercontent.com/LaryBird12/geo-images/main/images/217.jpg</v>
      </c>
      <c r="P228" s="3"/>
      <c r="Q228" t="b">
        <v>1</v>
      </c>
      <c r="R228" t="b">
        <v>0</v>
      </c>
      <c r="S228" t="b">
        <v>0</v>
      </c>
      <c r="T228" t="b">
        <v>0</v>
      </c>
      <c r="U228" t="b">
        <v>0</v>
      </c>
      <c r="V228" t="b">
        <v>1</v>
      </c>
      <c r="W228" t="b">
        <v>0</v>
      </c>
    </row>
    <row r="229" spans="1:23" ht="14.25" hidden="1" x14ac:dyDescent="0.45">
      <c r="A229">
        <v>218</v>
      </c>
      <c r="B229" t="s">
        <v>552</v>
      </c>
      <c r="C229" t="s">
        <v>482</v>
      </c>
      <c r="D229" t="s">
        <v>499</v>
      </c>
      <c r="F229" s="2"/>
      <c r="I229" t="s">
        <v>40</v>
      </c>
      <c r="J229" s="2">
        <v>15620</v>
      </c>
      <c r="K229" s="2">
        <v>1</v>
      </c>
      <c r="L229" s="2">
        <v>3</v>
      </c>
      <c r="M229" s="1">
        <v>11.9</v>
      </c>
      <c r="O229" t="str">
        <f>_xlfn.CONCAT("https://raw.githubusercontent.com/LaryBird12/geo-images/main/images/",Table_Master_Inventory[[#This Row],[Master Record ID]],".jpg")</f>
        <v>https://raw.githubusercontent.com/LaryBird12/geo-images/main/images/218.jpg</v>
      </c>
      <c r="P229" s="3"/>
      <c r="Q229" t="b">
        <v>1</v>
      </c>
      <c r="R229" t="b">
        <v>0</v>
      </c>
      <c r="S229" t="b">
        <v>0</v>
      </c>
      <c r="T229" t="b">
        <v>0</v>
      </c>
      <c r="U229" t="b">
        <v>0</v>
      </c>
      <c r="V229" t="b">
        <v>1</v>
      </c>
      <c r="W229" t="b">
        <v>0</v>
      </c>
    </row>
    <row r="230" spans="1:23" ht="14.25" hidden="1" x14ac:dyDescent="0.45">
      <c r="A230">
        <v>219</v>
      </c>
      <c r="B230" t="s">
        <v>553</v>
      </c>
      <c r="C230" t="s">
        <v>482</v>
      </c>
      <c r="D230" t="s">
        <v>499</v>
      </c>
      <c r="F230" s="2"/>
      <c r="I230" t="s">
        <v>29</v>
      </c>
      <c r="J230" s="2">
        <v>100212441</v>
      </c>
      <c r="K230" s="2">
        <v>1</v>
      </c>
      <c r="L230" s="2">
        <v>3</v>
      </c>
      <c r="M230" s="1">
        <v>3.82</v>
      </c>
      <c r="N230" t="s">
        <v>501</v>
      </c>
      <c r="O230" t="str">
        <f>_xlfn.CONCAT("https://raw.githubusercontent.com/LaryBird12/geo-images/main/images/",Table_Master_Inventory[[#This Row],[Master Record ID]],".jpg")</f>
        <v>https://raw.githubusercontent.com/LaryBird12/geo-images/main/images/219.jpg</v>
      </c>
      <c r="P230" s="3"/>
      <c r="Q230" t="b">
        <v>1</v>
      </c>
      <c r="R230" t="b">
        <v>0</v>
      </c>
      <c r="S230" t="b">
        <v>0</v>
      </c>
      <c r="T230" t="b">
        <v>0</v>
      </c>
      <c r="U230" t="b">
        <v>0</v>
      </c>
      <c r="V230" t="b">
        <v>1</v>
      </c>
      <c r="W230" t="b">
        <v>0</v>
      </c>
    </row>
    <row r="231" spans="1:23" ht="14.25" hidden="1" x14ac:dyDescent="0.45">
      <c r="A231">
        <v>220</v>
      </c>
      <c r="B231" t="s">
        <v>554</v>
      </c>
      <c r="C231" t="s">
        <v>482</v>
      </c>
      <c r="D231" t="s">
        <v>499</v>
      </c>
      <c r="F231" s="2"/>
      <c r="I231" t="s">
        <v>29</v>
      </c>
      <c r="J231" s="2">
        <v>172187</v>
      </c>
      <c r="K231" s="2">
        <v>2</v>
      </c>
      <c r="L231" s="2">
        <v>1</v>
      </c>
      <c r="M231" s="1">
        <v>6.48</v>
      </c>
      <c r="O231" t="str">
        <f>_xlfn.CONCAT("https://raw.githubusercontent.com/LaryBird12/geo-images/main/images/",Table_Master_Inventory[[#This Row],[Master Record ID]],".jpg")</f>
        <v>https://raw.githubusercontent.com/LaryBird12/geo-images/main/images/220.jpg</v>
      </c>
      <c r="P231" s="3"/>
      <c r="Q231" t="b">
        <v>1</v>
      </c>
      <c r="R231" t="b">
        <v>0</v>
      </c>
      <c r="S231" t="b">
        <v>0</v>
      </c>
      <c r="T231" t="b">
        <v>0</v>
      </c>
      <c r="U231" t="b">
        <v>0</v>
      </c>
      <c r="V231" t="b">
        <v>1</v>
      </c>
      <c r="W231" t="b">
        <v>0</v>
      </c>
    </row>
    <row r="232" spans="1:23" ht="14.25" hidden="1" x14ac:dyDescent="0.45">
      <c r="A232">
        <v>221</v>
      </c>
      <c r="B232" t="s">
        <v>555</v>
      </c>
      <c r="C232" t="s">
        <v>482</v>
      </c>
      <c r="D232" t="s">
        <v>491</v>
      </c>
      <c r="F232" s="2" t="s">
        <v>135</v>
      </c>
      <c r="I232" t="s">
        <v>40</v>
      </c>
      <c r="J232" s="2" t="s">
        <v>556</v>
      </c>
      <c r="K232" s="2">
        <v>1</v>
      </c>
      <c r="L232" s="2"/>
      <c r="M232" s="1">
        <v>1.52</v>
      </c>
      <c r="O232" t="str">
        <f>_xlfn.CONCAT("https://raw.githubusercontent.com/LaryBird12/geo-images/main/images/",Table_Master_Inventory[[#This Row],[Master Record ID]],".jpg")</f>
        <v>https://raw.githubusercontent.com/LaryBird12/geo-images/main/images/221.jpg</v>
      </c>
      <c r="P232" s="3"/>
      <c r="Q232" t="b">
        <v>1</v>
      </c>
      <c r="R232" t="b">
        <v>0</v>
      </c>
      <c r="S232" t="b">
        <v>0</v>
      </c>
      <c r="T232" t="b">
        <v>0</v>
      </c>
      <c r="U232" t="b">
        <v>0</v>
      </c>
      <c r="V232" t="b">
        <v>1</v>
      </c>
      <c r="W232" t="b">
        <v>0</v>
      </c>
    </row>
    <row r="233" spans="1:23" ht="14.25" hidden="1" x14ac:dyDescent="0.45">
      <c r="A233">
        <v>222</v>
      </c>
      <c r="B233" t="s">
        <v>557</v>
      </c>
      <c r="C233" t="s">
        <v>482</v>
      </c>
      <c r="D233" t="s">
        <v>491</v>
      </c>
      <c r="F233" s="2" t="s">
        <v>68</v>
      </c>
      <c r="I233" t="s">
        <v>40</v>
      </c>
      <c r="J233" s="2" t="s">
        <v>558</v>
      </c>
      <c r="K233" s="2">
        <v>1</v>
      </c>
      <c r="L233" s="2"/>
      <c r="M233" s="1">
        <v>1.74</v>
      </c>
      <c r="O233" t="str">
        <f>_xlfn.CONCAT("https://raw.githubusercontent.com/LaryBird12/geo-images/main/images/",Table_Master_Inventory[[#This Row],[Master Record ID]],".jpg")</f>
        <v>https://raw.githubusercontent.com/LaryBird12/geo-images/main/images/222.jpg</v>
      </c>
      <c r="P233" s="3"/>
      <c r="Q233" t="b">
        <v>1</v>
      </c>
      <c r="R233" t="b">
        <v>0</v>
      </c>
      <c r="S233" t="b">
        <v>0</v>
      </c>
      <c r="T233" t="b">
        <v>0</v>
      </c>
      <c r="U233" t="b">
        <v>0</v>
      </c>
      <c r="V233" t="b">
        <v>1</v>
      </c>
      <c r="W233" t="b">
        <v>0</v>
      </c>
    </row>
    <row r="234" spans="1:23" ht="14.25" hidden="1" x14ac:dyDescent="0.45">
      <c r="A234">
        <v>223</v>
      </c>
      <c r="B234" t="s">
        <v>559</v>
      </c>
      <c r="C234" t="s">
        <v>482</v>
      </c>
      <c r="D234" t="s">
        <v>491</v>
      </c>
      <c r="F234" s="2" t="s">
        <v>78</v>
      </c>
      <c r="I234" t="s">
        <v>40</v>
      </c>
      <c r="J234" s="2" t="s">
        <v>560</v>
      </c>
      <c r="K234" s="2">
        <v>1</v>
      </c>
      <c r="L234" s="2"/>
      <c r="M234" s="1">
        <v>1.87</v>
      </c>
      <c r="O234" t="str">
        <f>_xlfn.CONCAT("https://raw.githubusercontent.com/LaryBird12/geo-images/main/images/",Table_Master_Inventory[[#This Row],[Master Record ID]],".jpg")</f>
        <v>https://raw.githubusercontent.com/LaryBird12/geo-images/main/images/223.jpg</v>
      </c>
      <c r="P234" s="3"/>
      <c r="Q234" t="b">
        <v>1</v>
      </c>
      <c r="R234" t="b">
        <v>0</v>
      </c>
      <c r="S234" t="b">
        <v>0</v>
      </c>
      <c r="T234" t="b">
        <v>0</v>
      </c>
      <c r="U234" t="b">
        <v>0</v>
      </c>
      <c r="V234" t="b">
        <v>1</v>
      </c>
      <c r="W234" t="b">
        <v>0</v>
      </c>
    </row>
    <row r="235" spans="1:23" ht="14.25" hidden="1" x14ac:dyDescent="0.45">
      <c r="A235">
        <v>224</v>
      </c>
      <c r="B235" t="s">
        <v>561</v>
      </c>
      <c r="C235" t="s">
        <v>482</v>
      </c>
      <c r="D235" t="s">
        <v>491</v>
      </c>
      <c r="F235" s="2" t="s">
        <v>251</v>
      </c>
      <c r="I235" t="s">
        <v>40</v>
      </c>
      <c r="J235" s="2" t="s">
        <v>562</v>
      </c>
      <c r="K235" s="2">
        <v>1</v>
      </c>
      <c r="L235" s="2"/>
      <c r="M235" s="1">
        <v>2.27</v>
      </c>
      <c r="O235" t="str">
        <f>_xlfn.CONCAT("https://raw.githubusercontent.com/LaryBird12/geo-images/main/images/",Table_Master_Inventory[[#This Row],[Master Record ID]],".jpg")</f>
        <v>https://raw.githubusercontent.com/LaryBird12/geo-images/main/images/224.jpg</v>
      </c>
      <c r="P235" s="3"/>
      <c r="Q235" t="b">
        <v>1</v>
      </c>
      <c r="R235" t="b">
        <v>0</v>
      </c>
      <c r="S235" t="b">
        <v>0</v>
      </c>
      <c r="T235" t="b">
        <v>0</v>
      </c>
      <c r="U235" t="b">
        <v>0</v>
      </c>
      <c r="V235" t="b">
        <v>1</v>
      </c>
      <c r="W235" t="b">
        <v>0</v>
      </c>
    </row>
    <row r="236" spans="1:23" ht="14.25" hidden="1" x14ac:dyDescent="0.45">
      <c r="A236">
        <v>225</v>
      </c>
      <c r="B236" t="s">
        <v>563</v>
      </c>
      <c r="C236" t="s">
        <v>482</v>
      </c>
      <c r="D236" t="s">
        <v>491</v>
      </c>
      <c r="F236" s="2" t="s">
        <v>254</v>
      </c>
      <c r="I236" t="s">
        <v>40</v>
      </c>
      <c r="J236" s="2" t="s">
        <v>564</v>
      </c>
      <c r="K236" s="2">
        <v>1</v>
      </c>
      <c r="L236" s="2"/>
      <c r="M236" s="1">
        <v>3.16</v>
      </c>
      <c r="O236" t="str">
        <f>_xlfn.CONCAT("https://raw.githubusercontent.com/LaryBird12/geo-images/main/images/",Table_Master_Inventory[[#This Row],[Master Record ID]],".jpg")</f>
        <v>https://raw.githubusercontent.com/LaryBird12/geo-images/main/images/225.jpg</v>
      </c>
      <c r="P236" s="3"/>
      <c r="Q236" t="b">
        <v>1</v>
      </c>
      <c r="R236" t="b">
        <v>0</v>
      </c>
      <c r="S236" t="b">
        <v>0</v>
      </c>
      <c r="T236" t="b">
        <v>0</v>
      </c>
      <c r="U236" t="b">
        <v>0</v>
      </c>
      <c r="V236" t="b">
        <v>1</v>
      </c>
      <c r="W236" t="b">
        <v>0</v>
      </c>
    </row>
    <row r="237" spans="1:23" ht="14.25" hidden="1" x14ac:dyDescent="0.45">
      <c r="A237">
        <v>226</v>
      </c>
      <c r="B237" t="s">
        <v>565</v>
      </c>
      <c r="C237" t="s">
        <v>482</v>
      </c>
      <c r="D237" t="s">
        <v>491</v>
      </c>
      <c r="F237" s="2" t="s">
        <v>566</v>
      </c>
      <c r="I237" t="s">
        <v>29</v>
      </c>
      <c r="J237" s="2" t="s">
        <v>567</v>
      </c>
      <c r="K237" s="2">
        <v>1</v>
      </c>
      <c r="L237" s="2"/>
      <c r="M237" s="1">
        <v>9.1199999999999992</v>
      </c>
      <c r="O237" t="str">
        <f>_xlfn.CONCAT("https://raw.githubusercontent.com/LaryBird12/geo-images/main/images/",Table_Master_Inventory[[#This Row],[Master Record ID]],".jpg")</f>
        <v>https://raw.githubusercontent.com/LaryBird12/geo-images/main/images/226.jpg</v>
      </c>
      <c r="P237" s="3"/>
      <c r="Q237" t="b">
        <v>1</v>
      </c>
      <c r="R237" t="b">
        <v>0</v>
      </c>
      <c r="S237" t="b">
        <v>0</v>
      </c>
      <c r="T237" t="b">
        <v>0</v>
      </c>
      <c r="U237" t="b">
        <v>0</v>
      </c>
      <c r="V237" t="b">
        <v>1</v>
      </c>
      <c r="W237" t="b">
        <v>0</v>
      </c>
    </row>
    <row r="238" spans="1:23" ht="14.25" hidden="1" x14ac:dyDescent="0.45">
      <c r="A238">
        <v>227</v>
      </c>
      <c r="B238" t="s">
        <v>568</v>
      </c>
      <c r="C238" t="s">
        <v>569</v>
      </c>
      <c r="D238" t="s">
        <v>570</v>
      </c>
      <c r="F238" s="2" t="s">
        <v>571</v>
      </c>
      <c r="I238" t="s">
        <v>101</v>
      </c>
      <c r="J238" s="2">
        <v>258</v>
      </c>
      <c r="K238" s="2" t="s">
        <v>128</v>
      </c>
      <c r="L238" s="2" t="s">
        <v>128</v>
      </c>
      <c r="M238" s="1">
        <v>63.54</v>
      </c>
      <c r="O238" t="str">
        <f>_xlfn.CONCAT("https://raw.githubusercontent.com/LaryBird12/geo-images/main/images/",Table_Master_Inventory[[#This Row],[Master Record ID]],".jpg")</f>
        <v>https://raw.githubusercontent.com/LaryBird12/geo-images/main/images/227.jpg</v>
      </c>
      <c r="P238" s="3"/>
      <c r="Q238" t="b">
        <v>1</v>
      </c>
      <c r="R238" t="b">
        <v>0</v>
      </c>
      <c r="S238" t="b">
        <v>0</v>
      </c>
      <c r="T238" t="b">
        <v>0</v>
      </c>
      <c r="U238" t="b">
        <v>0</v>
      </c>
      <c r="V238" t="b">
        <v>1</v>
      </c>
      <c r="W238" t="b">
        <v>0</v>
      </c>
    </row>
    <row r="239" spans="1:23" ht="14.25" hidden="1" x14ac:dyDescent="0.45">
      <c r="A239">
        <v>228</v>
      </c>
      <c r="B239" t="s">
        <v>572</v>
      </c>
      <c r="C239" t="s">
        <v>569</v>
      </c>
      <c r="D239" t="s">
        <v>573</v>
      </c>
      <c r="F239" s="2" t="s">
        <v>574</v>
      </c>
      <c r="I239" t="s">
        <v>40</v>
      </c>
      <c r="J239" s="2" t="s">
        <v>575</v>
      </c>
      <c r="K239" s="2" t="s">
        <v>284</v>
      </c>
      <c r="L239" s="2" t="s">
        <v>284</v>
      </c>
      <c r="M239" s="1">
        <v>0.19</v>
      </c>
      <c r="N239" t="s">
        <v>356</v>
      </c>
      <c r="O239" t="str">
        <f>_xlfn.CONCAT("https://raw.githubusercontent.com/LaryBird12/geo-images/main/images/",Table_Master_Inventory[[#This Row],[Master Record ID]],".jpg")</f>
        <v>https://raw.githubusercontent.com/LaryBird12/geo-images/main/images/228.jpg</v>
      </c>
      <c r="P239" s="3"/>
      <c r="Q239" t="b">
        <v>1</v>
      </c>
      <c r="R239" t="b">
        <v>0</v>
      </c>
      <c r="S239" t="b">
        <v>0</v>
      </c>
      <c r="T239" t="b">
        <v>0</v>
      </c>
      <c r="U239" t="b">
        <v>0</v>
      </c>
      <c r="V239" t="b">
        <v>1</v>
      </c>
      <c r="W239" t="b">
        <v>0</v>
      </c>
    </row>
    <row r="240" spans="1:23" ht="14.25" hidden="1" x14ac:dyDescent="0.45">
      <c r="A240">
        <v>229</v>
      </c>
      <c r="B240" t="s">
        <v>576</v>
      </c>
      <c r="C240" t="s">
        <v>569</v>
      </c>
      <c r="D240" t="s">
        <v>573</v>
      </c>
      <c r="F240" s="2" t="s">
        <v>577</v>
      </c>
      <c r="I240" t="s">
        <v>40</v>
      </c>
      <c r="J240" s="2" t="s">
        <v>578</v>
      </c>
      <c r="K240" s="2" t="s">
        <v>284</v>
      </c>
      <c r="L240" s="2" t="s">
        <v>284</v>
      </c>
      <c r="M240" s="1">
        <v>0.28999999999999998</v>
      </c>
      <c r="N240" t="s">
        <v>356</v>
      </c>
      <c r="O240" t="str">
        <f>_xlfn.CONCAT("https://raw.githubusercontent.com/LaryBird12/geo-images/main/images/",Table_Master_Inventory[[#This Row],[Master Record ID]],".jpg")</f>
        <v>https://raw.githubusercontent.com/LaryBird12/geo-images/main/images/229.jpg</v>
      </c>
      <c r="P240" s="3"/>
      <c r="Q240" t="b">
        <v>1</v>
      </c>
      <c r="R240" t="b">
        <v>0</v>
      </c>
      <c r="S240" t="b">
        <v>0</v>
      </c>
      <c r="T240" t="b">
        <v>0</v>
      </c>
      <c r="U240" t="b">
        <v>0</v>
      </c>
      <c r="V240" t="b">
        <v>1</v>
      </c>
      <c r="W240" t="b">
        <v>0</v>
      </c>
    </row>
    <row r="241" spans="1:23" ht="14.25" hidden="1" x14ac:dyDescent="0.45">
      <c r="A241">
        <v>230</v>
      </c>
      <c r="B241" t="s">
        <v>579</v>
      </c>
      <c r="C241" t="s">
        <v>569</v>
      </c>
      <c r="D241" t="s">
        <v>570</v>
      </c>
      <c r="F241" s="2" t="s">
        <v>580</v>
      </c>
      <c r="I241" t="s">
        <v>494</v>
      </c>
      <c r="J241" s="2"/>
      <c r="K241" s="2">
        <v>8</v>
      </c>
      <c r="L241" s="2">
        <v>4</v>
      </c>
      <c r="M241" s="1">
        <v>1.67</v>
      </c>
      <c r="O241" t="str">
        <f>_xlfn.CONCAT("https://raw.githubusercontent.com/LaryBird12/geo-images/main/images/",Table_Master_Inventory[[#This Row],[Master Record ID]],".jpg")</f>
        <v>https://raw.githubusercontent.com/LaryBird12/geo-images/main/images/230.jpg</v>
      </c>
      <c r="P241" s="3"/>
      <c r="Q241" t="b">
        <v>1</v>
      </c>
      <c r="R241" t="b">
        <v>0</v>
      </c>
      <c r="S241" t="b">
        <v>0</v>
      </c>
      <c r="T241" t="b">
        <v>0</v>
      </c>
      <c r="U241" t="b">
        <v>0</v>
      </c>
      <c r="V241" t="b">
        <v>1</v>
      </c>
      <c r="W241" t="b">
        <v>0</v>
      </c>
    </row>
    <row r="242" spans="1:23" ht="14.25" hidden="1" x14ac:dyDescent="0.45">
      <c r="A242">
        <v>231</v>
      </c>
      <c r="B242" t="s">
        <v>581</v>
      </c>
      <c r="C242" t="s">
        <v>569</v>
      </c>
      <c r="D242" t="s">
        <v>217</v>
      </c>
      <c r="F242" s="2" t="s">
        <v>582</v>
      </c>
      <c r="I242" t="s">
        <v>494</v>
      </c>
      <c r="J242" s="2"/>
      <c r="K242" s="2">
        <v>20</v>
      </c>
      <c r="L242" s="2">
        <v>10</v>
      </c>
      <c r="M242" s="1">
        <v>0.3</v>
      </c>
      <c r="O242" t="str">
        <f>_xlfn.CONCAT("https://raw.githubusercontent.com/LaryBird12/geo-images/main/images/",Table_Master_Inventory[[#This Row],[Master Record ID]],".jpg")</f>
        <v>https://raw.githubusercontent.com/LaryBird12/geo-images/main/images/231.jpg</v>
      </c>
      <c r="P242" s="3"/>
      <c r="Q242" t="b">
        <v>1</v>
      </c>
      <c r="R242" t="b">
        <v>0</v>
      </c>
      <c r="S242" t="b">
        <v>0</v>
      </c>
      <c r="T242" t="b">
        <v>0</v>
      </c>
      <c r="U242" t="b">
        <v>0</v>
      </c>
      <c r="V242" t="b">
        <v>1</v>
      </c>
      <c r="W242" t="b">
        <v>0</v>
      </c>
    </row>
    <row r="243" spans="1:23" ht="14.25" hidden="1" x14ac:dyDescent="0.45">
      <c r="A243">
        <v>232</v>
      </c>
      <c r="B243" t="s">
        <v>583</v>
      </c>
      <c r="C243" t="s">
        <v>569</v>
      </c>
      <c r="D243" t="s">
        <v>134</v>
      </c>
      <c r="F243" s="2" t="s">
        <v>582</v>
      </c>
      <c r="I243" t="s">
        <v>494</v>
      </c>
      <c r="J243" s="2"/>
      <c r="K243" s="2">
        <v>20</v>
      </c>
      <c r="L243" s="2">
        <v>10</v>
      </c>
      <c r="M243" s="1">
        <v>0.47</v>
      </c>
      <c r="O243" t="str">
        <f>_xlfn.CONCAT("https://raw.githubusercontent.com/LaryBird12/geo-images/main/images/",Table_Master_Inventory[[#This Row],[Master Record ID]],".jpg")</f>
        <v>https://raw.githubusercontent.com/LaryBird12/geo-images/main/images/232.jpg</v>
      </c>
      <c r="P243" s="3" t="s">
        <v>584</v>
      </c>
      <c r="Q243" t="b">
        <v>1</v>
      </c>
      <c r="R243" t="b">
        <v>0</v>
      </c>
      <c r="S243" t="b">
        <v>0</v>
      </c>
      <c r="T243" t="b">
        <v>0</v>
      </c>
      <c r="U243" t="b">
        <v>0</v>
      </c>
      <c r="V243" t="b">
        <v>1</v>
      </c>
      <c r="W243" t="b">
        <v>0</v>
      </c>
    </row>
    <row r="244" spans="1:23" ht="14.25" hidden="1" x14ac:dyDescent="0.45">
      <c r="A244">
        <v>233</v>
      </c>
      <c r="B244" t="s">
        <v>585</v>
      </c>
      <c r="C244" t="s">
        <v>569</v>
      </c>
      <c r="D244" t="s">
        <v>397</v>
      </c>
      <c r="F244" s="2" t="s">
        <v>586</v>
      </c>
      <c r="I244" t="s">
        <v>391</v>
      </c>
      <c r="J244" s="2" t="s">
        <v>587</v>
      </c>
      <c r="K244" s="2">
        <v>40</v>
      </c>
      <c r="L244" s="2">
        <v>40</v>
      </c>
      <c r="M244" s="1">
        <v>22.86</v>
      </c>
      <c r="O244" t="str">
        <f>_xlfn.CONCAT("https://raw.githubusercontent.com/LaryBird12/geo-images/main/images/",Table_Master_Inventory[[#This Row],[Master Record ID]],".jpg")</f>
        <v>https://raw.githubusercontent.com/LaryBird12/geo-images/main/images/233.jpg</v>
      </c>
      <c r="P244" s="3"/>
      <c r="Q244" t="b">
        <v>1</v>
      </c>
      <c r="R244" t="b">
        <v>0</v>
      </c>
      <c r="S244" t="b">
        <v>0</v>
      </c>
      <c r="T244" t="b">
        <v>0</v>
      </c>
      <c r="U244" t="b">
        <v>0</v>
      </c>
      <c r="V244" t="b">
        <v>1</v>
      </c>
      <c r="W244" t="b">
        <v>0</v>
      </c>
    </row>
    <row r="245" spans="1:23" ht="14.25" hidden="1" x14ac:dyDescent="0.45">
      <c r="A245">
        <v>234</v>
      </c>
      <c r="B245" t="s">
        <v>588</v>
      </c>
      <c r="C245" t="s">
        <v>569</v>
      </c>
      <c r="D245" t="s">
        <v>397</v>
      </c>
      <c r="F245" s="2" t="s">
        <v>589</v>
      </c>
      <c r="I245" t="s">
        <v>391</v>
      </c>
      <c r="J245" s="2" t="s">
        <v>590</v>
      </c>
      <c r="K245" s="2">
        <v>20</v>
      </c>
      <c r="L245" s="2">
        <v>20</v>
      </c>
      <c r="M245" s="1">
        <v>27.43</v>
      </c>
      <c r="O245" t="str">
        <f>_xlfn.CONCAT("https://raw.githubusercontent.com/LaryBird12/geo-images/main/images/",Table_Master_Inventory[[#This Row],[Master Record ID]],".jpg")</f>
        <v>https://raw.githubusercontent.com/LaryBird12/geo-images/main/images/234.jpg</v>
      </c>
      <c r="P245" s="3"/>
      <c r="Q245" t="b">
        <v>1</v>
      </c>
      <c r="R245" t="b">
        <v>0</v>
      </c>
      <c r="S245" t="b">
        <v>0</v>
      </c>
      <c r="T245" t="b">
        <v>0</v>
      </c>
      <c r="U245" t="b">
        <v>0</v>
      </c>
      <c r="V245" t="b">
        <v>1</v>
      </c>
      <c r="W245" t="b">
        <v>0</v>
      </c>
    </row>
    <row r="246" spans="1:23" ht="14.25" hidden="1" x14ac:dyDescent="0.45">
      <c r="A246">
        <v>235</v>
      </c>
      <c r="B246" t="s">
        <v>591</v>
      </c>
      <c r="C246" t="s">
        <v>569</v>
      </c>
      <c r="D246" t="s">
        <v>217</v>
      </c>
      <c r="F246" s="2" t="s">
        <v>592</v>
      </c>
      <c r="I246" t="s">
        <v>494</v>
      </c>
      <c r="J246" s="2"/>
      <c r="K246" s="2">
        <v>6</v>
      </c>
      <c r="L246" s="2">
        <v>2</v>
      </c>
      <c r="M246" s="1"/>
      <c r="O246" t="str">
        <f>_xlfn.CONCAT("https://raw.githubusercontent.com/LaryBird12/geo-images/main/images/",Table_Master_Inventory[[#This Row],[Master Record ID]],".jpg")</f>
        <v>https://raw.githubusercontent.com/LaryBird12/geo-images/main/images/235.jpg</v>
      </c>
      <c r="P246" s="3"/>
      <c r="Q246" t="b">
        <v>1</v>
      </c>
      <c r="R246" t="b">
        <v>0</v>
      </c>
      <c r="S246" t="b">
        <v>0</v>
      </c>
      <c r="T246" t="b">
        <v>0</v>
      </c>
      <c r="U246" t="b">
        <v>0</v>
      </c>
      <c r="V246" t="b">
        <v>1</v>
      </c>
      <c r="W246" t="b">
        <v>0</v>
      </c>
    </row>
    <row r="247" spans="1:23" ht="14.25" hidden="1" x14ac:dyDescent="0.45">
      <c r="A247">
        <v>236</v>
      </c>
      <c r="B247" t="s">
        <v>593</v>
      </c>
      <c r="C247" t="s">
        <v>594</v>
      </c>
      <c r="F247" s="2" t="s">
        <v>595</v>
      </c>
      <c r="I247" t="s">
        <v>596</v>
      </c>
      <c r="J247" s="2"/>
      <c r="K247" s="2">
        <v>1</v>
      </c>
      <c r="L247" s="2"/>
      <c r="M247" s="1"/>
      <c r="O247" t="str">
        <f>_xlfn.CONCAT("https://raw.githubusercontent.com/LaryBird12/geo-images/main/images/",Table_Master_Inventory[[#This Row],[Master Record ID]],".jpg")</f>
        <v>https://raw.githubusercontent.com/LaryBird12/geo-images/main/images/236.jpg</v>
      </c>
      <c r="P247" s="3"/>
      <c r="Q247" t="b">
        <v>1</v>
      </c>
      <c r="R247" t="b">
        <v>0</v>
      </c>
      <c r="S247" t="b">
        <v>0</v>
      </c>
      <c r="T247" t="b">
        <v>0</v>
      </c>
      <c r="U247" t="b">
        <v>0</v>
      </c>
      <c r="V247" t="b">
        <v>1</v>
      </c>
      <c r="W247" t="b">
        <v>0</v>
      </c>
    </row>
    <row r="248" spans="1:23" ht="14.25" hidden="1" x14ac:dyDescent="0.45">
      <c r="A248">
        <v>237</v>
      </c>
      <c r="B248" t="s">
        <v>597</v>
      </c>
      <c r="C248" t="s">
        <v>594</v>
      </c>
      <c r="F248" s="2"/>
      <c r="I248" t="s">
        <v>596</v>
      </c>
      <c r="J248" s="2"/>
      <c r="K248" s="2">
        <v>1</v>
      </c>
      <c r="L248" s="2"/>
      <c r="M248" s="1"/>
      <c r="O248" t="str">
        <f>_xlfn.CONCAT("https://raw.githubusercontent.com/LaryBird12/geo-images/main/images/",Table_Master_Inventory[[#This Row],[Master Record ID]],".jpg")</f>
        <v>https://raw.githubusercontent.com/LaryBird12/geo-images/main/images/237.jpg</v>
      </c>
      <c r="P248" s="3"/>
      <c r="Q248" t="b">
        <v>1</v>
      </c>
      <c r="R248" t="b">
        <v>0</v>
      </c>
      <c r="S248" t="b">
        <v>0</v>
      </c>
      <c r="T248" t="b">
        <v>0</v>
      </c>
      <c r="U248" t="b">
        <v>0</v>
      </c>
      <c r="V248" t="b">
        <v>1</v>
      </c>
      <c r="W248" t="b">
        <v>0</v>
      </c>
    </row>
    <row r="249" spans="1:23" ht="14.25" hidden="1" x14ac:dyDescent="0.45">
      <c r="A249">
        <v>238</v>
      </c>
      <c r="B249" t="s">
        <v>598</v>
      </c>
      <c r="C249" t="s">
        <v>594</v>
      </c>
      <c r="F249" s="2"/>
      <c r="I249" t="s">
        <v>596</v>
      </c>
      <c r="J249" s="2"/>
      <c r="K249" s="2">
        <v>3</v>
      </c>
      <c r="L249" s="2">
        <v>3</v>
      </c>
      <c r="M249" s="1"/>
      <c r="O249" t="str">
        <f>_xlfn.CONCAT("https://raw.githubusercontent.com/LaryBird12/geo-images/main/images/",Table_Master_Inventory[[#This Row],[Master Record ID]],".jpg")</f>
        <v>https://raw.githubusercontent.com/LaryBird12/geo-images/main/images/238.jpg</v>
      </c>
      <c r="P249" s="3"/>
      <c r="Q249" t="b">
        <v>1</v>
      </c>
      <c r="R249" t="b">
        <v>0</v>
      </c>
      <c r="S249" t="b">
        <v>0</v>
      </c>
      <c r="T249" t="b">
        <v>0</v>
      </c>
      <c r="U249" t="b">
        <v>0</v>
      </c>
      <c r="V249" t="b">
        <v>1</v>
      </c>
      <c r="W249" t="b">
        <v>0</v>
      </c>
    </row>
    <row r="250" spans="1:23" ht="14.25" hidden="1" x14ac:dyDescent="0.45">
      <c r="A250">
        <v>239</v>
      </c>
      <c r="B250" t="s">
        <v>599</v>
      </c>
      <c r="C250" t="s">
        <v>594</v>
      </c>
      <c r="F250" s="2" t="s">
        <v>600</v>
      </c>
      <c r="I250" t="s">
        <v>29</v>
      </c>
      <c r="J250" s="2">
        <v>779164</v>
      </c>
      <c r="K250" s="2">
        <v>1</v>
      </c>
      <c r="L250" s="2"/>
      <c r="M250" s="1">
        <v>8.3699999999999992</v>
      </c>
      <c r="O250" t="str">
        <f>_xlfn.CONCAT("https://raw.githubusercontent.com/LaryBird12/geo-images/main/images/",Table_Master_Inventory[[#This Row],[Master Record ID]],".jpg")</f>
        <v>https://raw.githubusercontent.com/LaryBird12/geo-images/main/images/239.jpg</v>
      </c>
      <c r="P250" s="3"/>
      <c r="Q250" t="b">
        <v>1</v>
      </c>
      <c r="R250" t="b">
        <v>0</v>
      </c>
      <c r="S250" t="b">
        <v>0</v>
      </c>
      <c r="T250" t="b">
        <v>0</v>
      </c>
      <c r="U250" t="b">
        <v>0</v>
      </c>
      <c r="V250" t="b">
        <v>1</v>
      </c>
      <c r="W250" t="b">
        <v>0</v>
      </c>
    </row>
    <row r="251" spans="1:23" ht="14.25" hidden="1" x14ac:dyDescent="0.45">
      <c r="A251">
        <v>240</v>
      </c>
      <c r="B251" t="s">
        <v>601</v>
      </c>
      <c r="C251" t="s">
        <v>594</v>
      </c>
      <c r="F251" s="2" t="s">
        <v>602</v>
      </c>
      <c r="I251" t="s">
        <v>29</v>
      </c>
      <c r="J251" s="2">
        <v>315303672</v>
      </c>
      <c r="K251" s="2">
        <v>10</v>
      </c>
      <c r="L251" s="2">
        <v>6</v>
      </c>
      <c r="M251" s="1">
        <v>2</v>
      </c>
      <c r="N251" t="s">
        <v>31</v>
      </c>
      <c r="O251" t="str">
        <f>_xlfn.CONCAT("https://raw.githubusercontent.com/LaryBird12/geo-images/main/images/",Table_Master_Inventory[[#This Row],[Master Record ID]],".jpg")</f>
        <v>https://raw.githubusercontent.com/LaryBird12/geo-images/main/images/240.jpg</v>
      </c>
      <c r="P251" s="3"/>
      <c r="Q251" t="b">
        <v>1</v>
      </c>
      <c r="R251" t="b">
        <v>0</v>
      </c>
      <c r="S251" t="b">
        <v>0</v>
      </c>
      <c r="T251" t="b">
        <v>0</v>
      </c>
      <c r="U251" t="b">
        <v>0</v>
      </c>
      <c r="V251" t="b">
        <v>1</v>
      </c>
      <c r="W251" t="b">
        <v>0</v>
      </c>
    </row>
    <row r="252" spans="1:23" ht="14.25" hidden="1" x14ac:dyDescent="0.45">
      <c r="A252">
        <v>241</v>
      </c>
      <c r="B252" t="s">
        <v>603</v>
      </c>
      <c r="C252" t="s">
        <v>594</v>
      </c>
      <c r="F252" s="2"/>
      <c r="I252" t="s">
        <v>29</v>
      </c>
      <c r="J252" s="2" t="s">
        <v>604</v>
      </c>
      <c r="K252" s="2">
        <v>6</v>
      </c>
      <c r="L252" s="2">
        <v>6</v>
      </c>
      <c r="M252" s="1">
        <v>2.54</v>
      </c>
      <c r="O252" t="str">
        <f>_xlfn.CONCAT("https://raw.githubusercontent.com/LaryBird12/geo-images/main/images/",Table_Master_Inventory[[#This Row],[Master Record ID]],".jpg")</f>
        <v>https://raw.githubusercontent.com/LaryBird12/geo-images/main/images/241.jpg</v>
      </c>
      <c r="P252" s="3"/>
      <c r="Q252" t="b">
        <v>1</v>
      </c>
      <c r="R252" t="b">
        <v>0</v>
      </c>
      <c r="S252" t="b">
        <v>0</v>
      </c>
      <c r="T252" t="b">
        <v>0</v>
      </c>
      <c r="U252" t="b">
        <v>0</v>
      </c>
      <c r="V252" t="b">
        <v>1</v>
      </c>
      <c r="W252" t="b">
        <v>0</v>
      </c>
    </row>
    <row r="253" spans="1:23" ht="14.25" hidden="1" x14ac:dyDescent="0.45">
      <c r="A253">
        <v>242</v>
      </c>
      <c r="B253" t="s">
        <v>605</v>
      </c>
      <c r="C253" t="s">
        <v>594</v>
      </c>
      <c r="F253" s="2"/>
      <c r="I253" t="s">
        <v>29</v>
      </c>
      <c r="J253" s="2">
        <v>104813700</v>
      </c>
      <c r="K253" s="2">
        <v>6</v>
      </c>
      <c r="L253" s="2">
        <v>3</v>
      </c>
      <c r="M253" s="1">
        <v>0.37</v>
      </c>
      <c r="N253" t="s">
        <v>31</v>
      </c>
      <c r="O253" t="str">
        <f>_xlfn.CONCAT("https://raw.githubusercontent.com/LaryBird12/geo-images/main/images/",Table_Master_Inventory[[#This Row],[Master Record ID]],".jpg")</f>
        <v>https://raw.githubusercontent.com/LaryBird12/geo-images/main/images/242.jpg</v>
      </c>
      <c r="P253" s="3"/>
      <c r="Q253" t="b">
        <v>1</v>
      </c>
      <c r="R253" t="b">
        <v>0</v>
      </c>
      <c r="S253" t="b">
        <v>0</v>
      </c>
      <c r="T253" t="b">
        <v>0</v>
      </c>
      <c r="U253" t="b">
        <v>0</v>
      </c>
      <c r="V253" t="b">
        <v>1</v>
      </c>
      <c r="W253" t="b">
        <v>0</v>
      </c>
    </row>
    <row r="254" spans="1:23" ht="14.25" hidden="1" x14ac:dyDescent="0.45">
      <c r="A254">
        <v>243</v>
      </c>
      <c r="B254" t="s">
        <v>606</v>
      </c>
      <c r="C254" t="s">
        <v>594</v>
      </c>
      <c r="F254" s="2" t="s">
        <v>607</v>
      </c>
      <c r="I254" t="s">
        <v>505</v>
      </c>
      <c r="J254" s="2" t="s">
        <v>608</v>
      </c>
      <c r="K254" s="2">
        <v>10</v>
      </c>
      <c r="L254" s="2">
        <v>6</v>
      </c>
      <c r="M254" s="1">
        <v>8.5</v>
      </c>
      <c r="O254" t="str">
        <f>_xlfn.CONCAT("https://raw.githubusercontent.com/LaryBird12/geo-images/main/images/",Table_Master_Inventory[[#This Row],[Master Record ID]],".jpg")</f>
        <v>https://raw.githubusercontent.com/LaryBird12/geo-images/main/images/243.jpg</v>
      </c>
      <c r="P254" s="3"/>
      <c r="Q254" t="b">
        <v>1</v>
      </c>
      <c r="R254" t="b">
        <v>0</v>
      </c>
      <c r="S254" t="b">
        <v>0</v>
      </c>
      <c r="T254" t="b">
        <v>0</v>
      </c>
      <c r="U254" t="b">
        <v>0</v>
      </c>
      <c r="V254" t="b">
        <v>1</v>
      </c>
      <c r="W254" t="b">
        <v>0</v>
      </c>
    </row>
    <row r="255" spans="1:23" ht="14.25" hidden="1" x14ac:dyDescent="0.45">
      <c r="A255">
        <v>244</v>
      </c>
      <c r="B255" t="s">
        <v>609</v>
      </c>
      <c r="C255" t="s">
        <v>594</v>
      </c>
      <c r="F255" s="2" t="s">
        <v>610</v>
      </c>
      <c r="I255" t="s">
        <v>505</v>
      </c>
      <c r="J255" s="2" t="s">
        <v>611</v>
      </c>
      <c r="K255" s="2">
        <v>1</v>
      </c>
      <c r="L255" s="2"/>
      <c r="M255" s="1"/>
      <c r="O255" t="str">
        <f>_xlfn.CONCAT("https://raw.githubusercontent.com/LaryBird12/geo-images/main/images/",Table_Master_Inventory[[#This Row],[Master Record ID]],".jpg")</f>
        <v>https://raw.githubusercontent.com/LaryBird12/geo-images/main/images/244.jpg</v>
      </c>
      <c r="P255" s="3"/>
      <c r="Q255" t="b">
        <v>1</v>
      </c>
      <c r="R255" t="b">
        <v>0</v>
      </c>
      <c r="S255" t="b">
        <v>0</v>
      </c>
      <c r="T255" t="b">
        <v>0</v>
      </c>
      <c r="U255" t="b">
        <v>0</v>
      </c>
      <c r="V255" t="b">
        <v>1</v>
      </c>
      <c r="W255" t="b">
        <v>0</v>
      </c>
    </row>
    <row r="256" spans="1:23" ht="14.25" hidden="1" x14ac:dyDescent="0.45">
      <c r="A256">
        <v>245</v>
      </c>
      <c r="B256" t="s">
        <v>612</v>
      </c>
      <c r="C256" t="s">
        <v>594</v>
      </c>
      <c r="F256" s="2" t="s">
        <v>613</v>
      </c>
      <c r="I256" t="s">
        <v>29</v>
      </c>
      <c r="J256" s="2">
        <v>1004307679</v>
      </c>
      <c r="K256" s="2">
        <v>6</v>
      </c>
      <c r="L256" s="2">
        <v>6</v>
      </c>
      <c r="M256" s="1">
        <v>4.33</v>
      </c>
      <c r="N256" t="s">
        <v>31</v>
      </c>
      <c r="O256" t="str">
        <f>_xlfn.CONCAT("https://raw.githubusercontent.com/LaryBird12/geo-images/main/images/",Table_Master_Inventory[[#This Row],[Master Record ID]],".jpg")</f>
        <v>https://raw.githubusercontent.com/LaryBird12/geo-images/main/images/245.jpg</v>
      </c>
      <c r="P256" s="3"/>
      <c r="Q256" t="b">
        <v>1</v>
      </c>
      <c r="R256" t="b">
        <v>0</v>
      </c>
      <c r="S256" t="b">
        <v>0</v>
      </c>
      <c r="T256" t="b">
        <v>0</v>
      </c>
      <c r="U256" t="b">
        <v>0</v>
      </c>
      <c r="V256" t="b">
        <v>1</v>
      </c>
      <c r="W256" t="b">
        <v>0</v>
      </c>
    </row>
    <row r="257" spans="1:23" ht="14.25" hidden="1" x14ac:dyDescent="0.45">
      <c r="A257">
        <v>246</v>
      </c>
      <c r="B257" t="s">
        <v>614</v>
      </c>
      <c r="C257" t="s">
        <v>594</v>
      </c>
      <c r="F257" s="2"/>
      <c r="I257" t="s">
        <v>596</v>
      </c>
      <c r="J257" s="2"/>
      <c r="K257" s="2">
        <v>1</v>
      </c>
      <c r="L257" s="2"/>
      <c r="M257" s="1"/>
      <c r="O257" t="str">
        <f>_xlfn.CONCAT("https://raw.githubusercontent.com/LaryBird12/geo-images/main/images/",Table_Master_Inventory[[#This Row],[Master Record ID]],".jpg")</f>
        <v>https://raw.githubusercontent.com/LaryBird12/geo-images/main/images/246.jpg</v>
      </c>
      <c r="P257" s="3"/>
      <c r="Q257" t="b">
        <v>1</v>
      </c>
      <c r="R257" t="b">
        <v>0</v>
      </c>
      <c r="S257" t="b">
        <v>0</v>
      </c>
      <c r="T257" t="b">
        <v>0</v>
      </c>
      <c r="U257" t="b">
        <v>0</v>
      </c>
      <c r="V257" t="b">
        <v>1</v>
      </c>
      <c r="W257" t="b">
        <v>0</v>
      </c>
    </row>
    <row r="258" spans="1:23" ht="14.25" hidden="1" x14ac:dyDescent="0.45">
      <c r="A258">
        <v>247</v>
      </c>
      <c r="B258" t="s">
        <v>615</v>
      </c>
      <c r="C258" t="s">
        <v>594</v>
      </c>
      <c r="F258" s="2"/>
      <c r="I258" t="s">
        <v>596</v>
      </c>
      <c r="J258" s="2"/>
      <c r="K258" s="2">
        <v>1</v>
      </c>
      <c r="L258" s="2"/>
      <c r="M258" s="1"/>
      <c r="O258" t="str">
        <f>_xlfn.CONCAT("https://raw.githubusercontent.com/LaryBird12/geo-images/main/images/",Table_Master_Inventory[[#This Row],[Master Record ID]],".jpg")</f>
        <v>https://raw.githubusercontent.com/LaryBird12/geo-images/main/images/247.jpg</v>
      </c>
      <c r="P258" s="3"/>
      <c r="Q258" t="b">
        <v>1</v>
      </c>
      <c r="R258" t="b">
        <v>0</v>
      </c>
      <c r="S258" t="b">
        <v>0</v>
      </c>
      <c r="T258" t="b">
        <v>0</v>
      </c>
      <c r="U258" t="b">
        <v>0</v>
      </c>
      <c r="V258" t="b">
        <v>1</v>
      </c>
      <c r="W258" t="b">
        <v>0</v>
      </c>
    </row>
    <row r="259" spans="1:23" ht="14.25" hidden="1" x14ac:dyDescent="0.45">
      <c r="A259">
        <v>248</v>
      </c>
      <c r="B259" t="s">
        <v>616</v>
      </c>
      <c r="C259" t="s">
        <v>594</v>
      </c>
      <c r="F259" s="2"/>
      <c r="I259" t="s">
        <v>29</v>
      </c>
      <c r="J259" s="2" t="s">
        <v>617</v>
      </c>
      <c r="K259" s="2">
        <v>6</v>
      </c>
      <c r="L259" s="2">
        <v>6</v>
      </c>
      <c r="M259" s="1">
        <v>13.9</v>
      </c>
      <c r="O259" t="str">
        <f>_xlfn.CONCAT("https://raw.githubusercontent.com/LaryBird12/geo-images/main/images/",Table_Master_Inventory[[#This Row],[Master Record ID]],".jpg")</f>
        <v>https://raw.githubusercontent.com/LaryBird12/geo-images/main/images/248.jpg</v>
      </c>
      <c r="P259" s="3"/>
      <c r="Q259" t="b">
        <v>1</v>
      </c>
      <c r="R259" t="b">
        <v>0</v>
      </c>
      <c r="S259" t="b">
        <v>0</v>
      </c>
      <c r="T259" t="b">
        <v>0</v>
      </c>
      <c r="U259" t="b">
        <v>0</v>
      </c>
      <c r="V259" t="b">
        <v>1</v>
      </c>
      <c r="W259" t="b">
        <v>0</v>
      </c>
    </row>
    <row r="260" spans="1:23" ht="14.25" hidden="1" x14ac:dyDescent="0.45">
      <c r="A260">
        <v>249</v>
      </c>
      <c r="B260" t="s">
        <v>618</v>
      </c>
      <c r="C260" t="s">
        <v>25</v>
      </c>
      <c r="D260" t="s">
        <v>86</v>
      </c>
      <c r="E260" t="s">
        <v>619</v>
      </c>
      <c r="F260" s="2" t="s">
        <v>620</v>
      </c>
      <c r="I260" t="s">
        <v>40</v>
      </c>
      <c r="J260" s="2" t="s">
        <v>621</v>
      </c>
      <c r="K260" s="2">
        <v>4</v>
      </c>
      <c r="L260" s="2">
        <v>4</v>
      </c>
      <c r="M260" s="1">
        <v>7.67</v>
      </c>
      <c r="O260" t="str">
        <f>_xlfn.CONCAT("https://raw.githubusercontent.com/LaryBird12/geo-images/main/images/",Table_Master_Inventory[[#This Row],[Master Record ID]],".jpg")</f>
        <v>https://raw.githubusercontent.com/LaryBird12/geo-images/main/images/249.jpg</v>
      </c>
      <c r="P260" s="3"/>
      <c r="Q260" t="b">
        <v>1</v>
      </c>
      <c r="R260" t="b">
        <v>0</v>
      </c>
      <c r="S260" t="b">
        <v>0</v>
      </c>
      <c r="T260" t="b">
        <v>0</v>
      </c>
      <c r="U260" t="b">
        <v>0</v>
      </c>
      <c r="V260" t="b">
        <v>1</v>
      </c>
      <c r="W260" t="b">
        <v>0</v>
      </c>
    </row>
    <row r="261" spans="1:23" ht="14.25" hidden="1" x14ac:dyDescent="0.45">
      <c r="A261">
        <v>250</v>
      </c>
      <c r="B261" t="s">
        <v>622</v>
      </c>
      <c r="C261" t="s">
        <v>25</v>
      </c>
      <c r="D261" t="s">
        <v>86</v>
      </c>
      <c r="E261" t="s">
        <v>619</v>
      </c>
      <c r="F261" s="2" t="s">
        <v>251</v>
      </c>
      <c r="I261" t="s">
        <v>494</v>
      </c>
      <c r="J261" s="2"/>
      <c r="K261" s="2" t="s">
        <v>115</v>
      </c>
      <c r="L261" s="2" t="s">
        <v>115</v>
      </c>
      <c r="M261" s="1"/>
      <c r="O261" t="str">
        <f>_xlfn.CONCAT("https://raw.githubusercontent.com/LaryBird12/geo-images/main/images/",Table_Master_Inventory[[#This Row],[Master Record ID]],".jpg")</f>
        <v>https://raw.githubusercontent.com/LaryBird12/geo-images/main/images/250.jpg</v>
      </c>
      <c r="P261" s="3"/>
      <c r="Q261" t="b">
        <v>1</v>
      </c>
      <c r="R261" t="b">
        <v>0</v>
      </c>
      <c r="S261" t="b">
        <v>0</v>
      </c>
      <c r="T261" t="b">
        <v>0</v>
      </c>
      <c r="U261" t="b">
        <v>0</v>
      </c>
      <c r="V261" t="b">
        <v>1</v>
      </c>
      <c r="W261" t="b">
        <v>0</v>
      </c>
    </row>
    <row r="262" spans="1:23" ht="14.25" hidden="1" x14ac:dyDescent="0.45">
      <c r="A262">
        <v>251</v>
      </c>
      <c r="B262" t="s">
        <v>623</v>
      </c>
      <c r="C262" t="s">
        <v>25</v>
      </c>
      <c r="D262" t="s">
        <v>86</v>
      </c>
      <c r="E262" t="s">
        <v>619</v>
      </c>
      <c r="F262" s="2" t="s">
        <v>254</v>
      </c>
      <c r="I262" t="s">
        <v>494</v>
      </c>
      <c r="J262" s="2"/>
      <c r="K262" s="2" t="s">
        <v>115</v>
      </c>
      <c r="L262" s="2" t="s">
        <v>115</v>
      </c>
      <c r="M262" s="1"/>
      <c r="O262" t="str">
        <f>_xlfn.CONCAT("https://raw.githubusercontent.com/LaryBird12/geo-images/main/images/",Table_Master_Inventory[[#This Row],[Master Record ID]],".jpg")</f>
        <v>https://raw.githubusercontent.com/LaryBird12/geo-images/main/images/251.jpg</v>
      </c>
      <c r="P262" s="3"/>
      <c r="Q262" t="b">
        <v>1</v>
      </c>
      <c r="R262" t="b">
        <v>0</v>
      </c>
      <c r="S262" t="b">
        <v>0</v>
      </c>
      <c r="T262" t="b">
        <v>0</v>
      </c>
      <c r="U262" t="b">
        <v>0</v>
      </c>
      <c r="V262" t="b">
        <v>1</v>
      </c>
      <c r="W262" t="b">
        <v>0</v>
      </c>
    </row>
    <row r="263" spans="1:23" ht="14.25" hidden="1" x14ac:dyDescent="0.45">
      <c r="A263">
        <v>252</v>
      </c>
      <c r="B263" t="s">
        <v>624</v>
      </c>
      <c r="C263" t="s">
        <v>25</v>
      </c>
      <c r="D263" t="s">
        <v>86</v>
      </c>
      <c r="E263" t="s">
        <v>619</v>
      </c>
      <c r="F263" s="2" t="s">
        <v>415</v>
      </c>
      <c r="I263" t="s">
        <v>494</v>
      </c>
      <c r="J263" s="2"/>
      <c r="K263" s="2" t="s">
        <v>115</v>
      </c>
      <c r="L263" s="2" t="s">
        <v>115</v>
      </c>
      <c r="M263" s="1"/>
      <c r="O263" t="str">
        <f>_xlfn.CONCAT("https://raw.githubusercontent.com/LaryBird12/geo-images/main/images/",Table_Master_Inventory[[#This Row],[Master Record ID]],".jpg")</f>
        <v>https://raw.githubusercontent.com/LaryBird12/geo-images/main/images/252.jpg</v>
      </c>
      <c r="P263" s="3"/>
      <c r="Q263" t="b">
        <v>1</v>
      </c>
      <c r="R263" t="b">
        <v>0</v>
      </c>
      <c r="S263" t="b">
        <v>0</v>
      </c>
      <c r="T263" t="b">
        <v>0</v>
      </c>
      <c r="U263" t="b">
        <v>0</v>
      </c>
      <c r="V263" t="b">
        <v>1</v>
      </c>
      <c r="W263" t="b">
        <v>0</v>
      </c>
    </row>
    <row r="264" spans="1:23" ht="14.25" hidden="1" x14ac:dyDescent="0.45">
      <c r="A264">
        <v>253</v>
      </c>
      <c r="B264" t="s">
        <v>625</v>
      </c>
      <c r="C264" t="s">
        <v>25</v>
      </c>
      <c r="D264" t="s">
        <v>86</v>
      </c>
      <c r="E264" t="s">
        <v>619</v>
      </c>
      <c r="F264" s="2" t="s">
        <v>626</v>
      </c>
      <c r="I264" t="s">
        <v>494</v>
      </c>
      <c r="J264" s="2"/>
      <c r="K264" s="2" t="s">
        <v>627</v>
      </c>
      <c r="L264" s="2" t="s">
        <v>115</v>
      </c>
      <c r="M264" s="1">
        <v>0.68</v>
      </c>
      <c r="O264" t="str">
        <f>_xlfn.CONCAT("https://raw.githubusercontent.com/LaryBird12/geo-images/main/images/",Table_Master_Inventory[[#This Row],[Master Record ID]],".jpg")</f>
        <v>https://raw.githubusercontent.com/LaryBird12/geo-images/main/images/253.jpg</v>
      </c>
      <c r="P264" s="3"/>
      <c r="Q264" t="b">
        <v>1</v>
      </c>
      <c r="R264" t="b">
        <v>0</v>
      </c>
      <c r="S264" t="b">
        <v>0</v>
      </c>
      <c r="T264" t="b">
        <v>0</v>
      </c>
      <c r="U264" t="b">
        <v>0</v>
      </c>
      <c r="V264" t="b">
        <v>1</v>
      </c>
      <c r="W264" t="b">
        <v>0</v>
      </c>
    </row>
    <row r="265" spans="1:23" ht="14.25" hidden="1" x14ac:dyDescent="0.45">
      <c r="A265">
        <v>254</v>
      </c>
      <c r="B265" t="s">
        <v>628</v>
      </c>
      <c r="C265" t="s">
        <v>25</v>
      </c>
      <c r="D265" t="s">
        <v>86</v>
      </c>
      <c r="E265" t="s">
        <v>619</v>
      </c>
      <c r="F265" s="2" t="s">
        <v>629</v>
      </c>
      <c r="I265" t="s">
        <v>29</v>
      </c>
      <c r="J265" s="2">
        <v>526445</v>
      </c>
      <c r="K265" s="2" t="s">
        <v>630</v>
      </c>
      <c r="L265" s="2" t="s">
        <v>630</v>
      </c>
      <c r="M265" s="1">
        <v>0.19</v>
      </c>
      <c r="N265" t="s">
        <v>31</v>
      </c>
      <c r="O265" t="str">
        <f>_xlfn.CONCAT("https://raw.githubusercontent.com/LaryBird12/geo-images/main/images/",Table_Master_Inventory[[#This Row],[Master Record ID]],".jpg")</f>
        <v>https://raw.githubusercontent.com/LaryBird12/geo-images/main/images/254.jpg</v>
      </c>
      <c r="P265" s="3"/>
      <c r="Q265" t="b">
        <v>1</v>
      </c>
      <c r="R265" t="b">
        <v>0</v>
      </c>
      <c r="S265" t="b">
        <v>0</v>
      </c>
      <c r="T265" t="b">
        <v>0</v>
      </c>
      <c r="U265" t="b">
        <v>0</v>
      </c>
      <c r="V265" t="b">
        <v>1</v>
      </c>
      <c r="W265" t="b">
        <v>0</v>
      </c>
    </row>
    <row r="266" spans="1:23" ht="14.25" hidden="1" x14ac:dyDescent="0.45">
      <c r="A266">
        <v>255</v>
      </c>
      <c r="B266" t="s">
        <v>631</v>
      </c>
      <c r="C266" t="s">
        <v>25</v>
      </c>
      <c r="D266" t="s">
        <v>86</v>
      </c>
      <c r="E266" t="s">
        <v>619</v>
      </c>
      <c r="F266" s="2" t="s">
        <v>629</v>
      </c>
      <c r="I266" t="s">
        <v>29</v>
      </c>
      <c r="J266" s="2">
        <v>748726</v>
      </c>
      <c r="K266" s="2" t="s">
        <v>632</v>
      </c>
      <c r="L266" s="2" t="s">
        <v>632</v>
      </c>
      <c r="M266" s="1">
        <v>0.04</v>
      </c>
      <c r="N266" t="s">
        <v>31</v>
      </c>
      <c r="O266" t="str">
        <f>_xlfn.CONCAT("https://raw.githubusercontent.com/LaryBird12/geo-images/main/images/",Table_Master_Inventory[[#This Row],[Master Record ID]],".jpg")</f>
        <v>https://raw.githubusercontent.com/LaryBird12/geo-images/main/images/255.jpg</v>
      </c>
      <c r="P266" s="3"/>
      <c r="Q266" t="b">
        <v>1</v>
      </c>
      <c r="R266" t="b">
        <v>0</v>
      </c>
      <c r="S266" t="b">
        <v>0</v>
      </c>
      <c r="T266" t="b">
        <v>0</v>
      </c>
      <c r="U266" t="b">
        <v>0</v>
      </c>
      <c r="V266" t="b">
        <v>1</v>
      </c>
      <c r="W266" t="b">
        <v>0</v>
      </c>
    </row>
    <row r="267" spans="1:23" ht="14.25" hidden="1" x14ac:dyDescent="0.45">
      <c r="A267">
        <v>256</v>
      </c>
      <c r="B267" t="s">
        <v>633</v>
      </c>
      <c r="C267" t="s">
        <v>25</v>
      </c>
      <c r="D267" t="s">
        <v>86</v>
      </c>
      <c r="E267" t="s">
        <v>619</v>
      </c>
      <c r="F267" s="2" t="s">
        <v>634</v>
      </c>
      <c r="I267" t="s">
        <v>29</v>
      </c>
      <c r="J267" s="2">
        <v>748780</v>
      </c>
      <c r="K267" s="2" t="s">
        <v>632</v>
      </c>
      <c r="L267" s="2" t="s">
        <v>632</v>
      </c>
      <c r="M267" s="1">
        <v>0.12</v>
      </c>
      <c r="N267" t="s">
        <v>31</v>
      </c>
      <c r="O267" t="str">
        <f>_xlfn.CONCAT("https://raw.githubusercontent.com/LaryBird12/geo-images/main/images/",Table_Master_Inventory[[#This Row],[Master Record ID]],".jpg")</f>
        <v>https://raw.githubusercontent.com/LaryBird12/geo-images/main/images/256.jpg</v>
      </c>
      <c r="P267" s="3"/>
      <c r="Q267" t="b">
        <v>1</v>
      </c>
      <c r="R267" t="b">
        <v>0</v>
      </c>
      <c r="S267" t="b">
        <v>0</v>
      </c>
      <c r="T267" t="b">
        <v>0</v>
      </c>
      <c r="U267" t="b">
        <v>0</v>
      </c>
      <c r="V267" t="b">
        <v>1</v>
      </c>
      <c r="W267" t="b">
        <v>0</v>
      </c>
    </row>
    <row r="268" spans="1:23" ht="14.25" hidden="1" x14ac:dyDescent="0.45">
      <c r="A268">
        <v>257</v>
      </c>
      <c r="B268" t="s">
        <v>635</v>
      </c>
      <c r="C268" t="s">
        <v>25</v>
      </c>
      <c r="D268" t="s">
        <v>86</v>
      </c>
      <c r="E268" t="s">
        <v>619</v>
      </c>
      <c r="F268" s="2" t="s">
        <v>636</v>
      </c>
      <c r="I268"/>
      <c r="J268" s="2"/>
      <c r="K268" s="2" t="s">
        <v>632</v>
      </c>
      <c r="L268" s="2" t="s">
        <v>632</v>
      </c>
      <c r="M268" s="1"/>
      <c r="O268" t="str">
        <f>_xlfn.CONCAT("https://raw.githubusercontent.com/LaryBird12/geo-images/main/images/",Table_Master_Inventory[[#This Row],[Master Record ID]],".jpg")</f>
        <v>https://raw.githubusercontent.com/LaryBird12/geo-images/main/images/257.jpg</v>
      </c>
      <c r="P268" s="3"/>
      <c r="Q268" t="b">
        <v>1</v>
      </c>
      <c r="R268" t="b">
        <v>0</v>
      </c>
      <c r="S268" t="b">
        <v>0</v>
      </c>
      <c r="T268" t="b">
        <v>0</v>
      </c>
      <c r="U268" t="b">
        <v>0</v>
      </c>
      <c r="V268" t="b">
        <v>1</v>
      </c>
      <c r="W268" t="b">
        <v>0</v>
      </c>
    </row>
    <row r="269" spans="1:23" ht="14.25" hidden="1" x14ac:dyDescent="0.45">
      <c r="A269">
        <v>258</v>
      </c>
      <c r="B269" t="s">
        <v>637</v>
      </c>
      <c r="C269" t="s">
        <v>25</v>
      </c>
      <c r="D269" t="s">
        <v>86</v>
      </c>
      <c r="E269" t="s">
        <v>619</v>
      </c>
      <c r="F269" s="2" t="s">
        <v>638</v>
      </c>
      <c r="I269" t="s">
        <v>29</v>
      </c>
      <c r="J269" s="2">
        <v>172634</v>
      </c>
      <c r="K269" s="2" t="s">
        <v>639</v>
      </c>
      <c r="L269" s="2" t="s">
        <v>639</v>
      </c>
      <c r="M269" s="1">
        <v>4.97</v>
      </c>
      <c r="N269" t="s">
        <v>638</v>
      </c>
      <c r="O269" t="str">
        <f>_xlfn.CONCAT("https://raw.githubusercontent.com/LaryBird12/geo-images/main/images/",Table_Master_Inventory[[#This Row],[Master Record ID]],".jpg")</f>
        <v>https://raw.githubusercontent.com/LaryBird12/geo-images/main/images/258.jpg</v>
      </c>
      <c r="P269" s="3"/>
      <c r="Q269" t="b">
        <v>1</v>
      </c>
      <c r="R269" t="b">
        <v>0</v>
      </c>
      <c r="S269" t="b">
        <v>0</v>
      </c>
      <c r="T269" t="b">
        <v>0</v>
      </c>
      <c r="U269" t="b">
        <v>0</v>
      </c>
      <c r="V269" t="b">
        <v>1</v>
      </c>
      <c r="W269" t="b">
        <v>0</v>
      </c>
    </row>
    <row r="270" spans="1:23" ht="14.25" hidden="1" x14ac:dyDescent="0.45">
      <c r="A270">
        <v>259</v>
      </c>
      <c r="B270" t="s">
        <v>640</v>
      </c>
      <c r="C270" t="s">
        <v>299</v>
      </c>
      <c r="D270" t="s">
        <v>641</v>
      </c>
      <c r="F270" s="2" t="s">
        <v>642</v>
      </c>
      <c r="I270" t="s">
        <v>29</v>
      </c>
      <c r="J270" s="2" t="s">
        <v>643</v>
      </c>
      <c r="K270" s="2">
        <v>10</v>
      </c>
      <c r="L270" s="2">
        <v>6</v>
      </c>
      <c r="M270" s="1">
        <v>5</v>
      </c>
      <c r="O270" t="str">
        <f>_xlfn.CONCAT("https://raw.githubusercontent.com/LaryBird12/geo-images/main/images/",Table_Master_Inventory[[#This Row],[Master Record ID]],".jpg")</f>
        <v>https://raw.githubusercontent.com/LaryBird12/geo-images/main/images/259.jpg</v>
      </c>
      <c r="P270" s="3"/>
      <c r="Q270" t="b">
        <v>1</v>
      </c>
      <c r="R270" t="b">
        <v>0</v>
      </c>
      <c r="S270" t="b">
        <v>0</v>
      </c>
      <c r="T270" t="b">
        <v>0</v>
      </c>
      <c r="U270" t="b">
        <v>0</v>
      </c>
      <c r="V270" t="b">
        <v>1</v>
      </c>
      <c r="W270" t="b">
        <v>0</v>
      </c>
    </row>
    <row r="271" spans="1:23" ht="14.25" hidden="1" x14ac:dyDescent="0.45">
      <c r="A271">
        <v>260</v>
      </c>
      <c r="B271" t="s">
        <v>644</v>
      </c>
      <c r="C271" t="s">
        <v>299</v>
      </c>
      <c r="D271" t="s">
        <v>645</v>
      </c>
      <c r="F271" s="2"/>
      <c r="G271" s="2" t="s">
        <v>646</v>
      </c>
      <c r="I271" t="s">
        <v>40</v>
      </c>
      <c r="J271" s="2" t="s">
        <v>647</v>
      </c>
      <c r="K271" s="2">
        <v>2</v>
      </c>
      <c r="L271" s="2">
        <v>2</v>
      </c>
      <c r="M271" s="1">
        <v>232.5</v>
      </c>
      <c r="O271" t="str">
        <f>_xlfn.CONCAT("https://raw.githubusercontent.com/LaryBird12/geo-images/main/images/",Table_Master_Inventory[[#This Row],[Master Record ID]],".jpg")</f>
        <v>https://raw.githubusercontent.com/LaryBird12/geo-images/main/images/260.jpg</v>
      </c>
      <c r="P271" s="3"/>
      <c r="Q271" t="b">
        <v>1</v>
      </c>
      <c r="R271" t="b">
        <v>0</v>
      </c>
      <c r="S271" t="b">
        <v>0</v>
      </c>
      <c r="T271" t="b">
        <v>0</v>
      </c>
      <c r="U271" t="b">
        <v>1</v>
      </c>
      <c r="V271" t="b">
        <v>0</v>
      </c>
      <c r="W271" t="b">
        <v>0</v>
      </c>
    </row>
    <row r="272" spans="1:23" ht="14.25" hidden="1" x14ac:dyDescent="0.45">
      <c r="A272">
        <v>261</v>
      </c>
      <c r="B272" t="s">
        <v>648</v>
      </c>
      <c r="C272" t="s">
        <v>299</v>
      </c>
      <c r="D272" t="s">
        <v>645</v>
      </c>
      <c r="F272" s="2"/>
      <c r="G272" s="2" t="s">
        <v>646</v>
      </c>
      <c r="I272" t="s">
        <v>40</v>
      </c>
      <c r="J272" s="2" t="s">
        <v>649</v>
      </c>
      <c r="K272" s="2">
        <v>1</v>
      </c>
      <c r="L272" s="2"/>
      <c r="M272" s="1">
        <v>1919.36</v>
      </c>
      <c r="O272" t="str">
        <f>_xlfn.CONCAT("https://raw.githubusercontent.com/LaryBird12/geo-images/main/images/",Table_Master_Inventory[[#This Row],[Master Record ID]],".jpg")</f>
        <v>https://raw.githubusercontent.com/LaryBird12/geo-images/main/images/261.jpg</v>
      </c>
      <c r="P272" s="3"/>
      <c r="Q272" t="b">
        <v>1</v>
      </c>
      <c r="R272" t="b">
        <v>0</v>
      </c>
      <c r="S272" t="b">
        <v>0</v>
      </c>
      <c r="T272" t="b">
        <v>0</v>
      </c>
      <c r="U272" t="b">
        <v>1</v>
      </c>
      <c r="V272" t="b">
        <v>0</v>
      </c>
      <c r="W272" t="b">
        <v>0</v>
      </c>
    </row>
    <row r="273" spans="1:23" ht="14.25" hidden="1" x14ac:dyDescent="0.45">
      <c r="A273">
        <v>262</v>
      </c>
      <c r="B273" t="s">
        <v>650</v>
      </c>
      <c r="C273" t="s">
        <v>299</v>
      </c>
      <c r="D273" t="s">
        <v>645</v>
      </c>
      <c r="F273" s="2"/>
      <c r="I273" t="s">
        <v>40</v>
      </c>
      <c r="J273" s="2" t="s">
        <v>651</v>
      </c>
      <c r="K273" s="2">
        <v>1</v>
      </c>
      <c r="L273" s="2"/>
      <c r="M273" s="1">
        <v>65.989999999999995</v>
      </c>
      <c r="O273" t="str">
        <f>_xlfn.CONCAT("https://raw.githubusercontent.com/LaryBird12/geo-images/main/images/",Table_Master_Inventory[[#This Row],[Master Record ID]],".jpg")</f>
        <v>https://raw.githubusercontent.com/LaryBird12/geo-images/main/images/262.jpg</v>
      </c>
      <c r="P273" s="3"/>
      <c r="Q273" t="b">
        <v>1</v>
      </c>
      <c r="R273" t="b">
        <v>0</v>
      </c>
      <c r="S273" t="b">
        <v>0</v>
      </c>
      <c r="T273" t="b">
        <v>0</v>
      </c>
      <c r="U273" t="b">
        <v>1</v>
      </c>
      <c r="V273" t="b">
        <v>0</v>
      </c>
      <c r="W273" t="b">
        <v>0</v>
      </c>
    </row>
    <row r="274" spans="1:23" ht="14.25" hidden="1" x14ac:dyDescent="0.45">
      <c r="A274">
        <v>263</v>
      </c>
      <c r="B274" t="s">
        <v>652</v>
      </c>
      <c r="C274" t="s">
        <v>299</v>
      </c>
      <c r="D274" t="s">
        <v>645</v>
      </c>
      <c r="F274" s="2"/>
      <c r="I274" t="s">
        <v>40</v>
      </c>
      <c r="J274" s="2" t="s">
        <v>653</v>
      </c>
      <c r="K274" s="2">
        <v>2</v>
      </c>
      <c r="L274" s="2">
        <v>1</v>
      </c>
      <c r="M274" s="1">
        <v>188.31</v>
      </c>
      <c r="O274" t="str">
        <f>_xlfn.CONCAT("https://raw.githubusercontent.com/LaryBird12/geo-images/main/images/",Table_Master_Inventory[[#This Row],[Master Record ID]],".jpg")</f>
        <v>https://raw.githubusercontent.com/LaryBird12/geo-images/main/images/263.jpg</v>
      </c>
      <c r="P274" s="3"/>
      <c r="Q274" t="b">
        <v>1</v>
      </c>
      <c r="R274" t="b">
        <v>0</v>
      </c>
      <c r="S274" t="b">
        <v>0</v>
      </c>
      <c r="T274" t="b">
        <v>0</v>
      </c>
      <c r="U274" t="b">
        <v>1</v>
      </c>
      <c r="V274" t="b">
        <v>0</v>
      </c>
      <c r="W274" t="b">
        <v>0</v>
      </c>
    </row>
    <row r="275" spans="1:23" ht="14.25" hidden="1" x14ac:dyDescent="0.45">
      <c r="A275">
        <v>264</v>
      </c>
      <c r="B275" t="s">
        <v>654</v>
      </c>
      <c r="C275" t="s">
        <v>299</v>
      </c>
      <c r="D275" t="s">
        <v>645</v>
      </c>
      <c r="F275" s="2" t="s">
        <v>655</v>
      </c>
      <c r="I275" t="s">
        <v>40</v>
      </c>
      <c r="J275" s="2">
        <v>96387</v>
      </c>
      <c r="K275" s="2">
        <v>1</v>
      </c>
      <c r="L275" s="2"/>
      <c r="M275" s="1">
        <v>153.63999999999999</v>
      </c>
      <c r="O275" t="str">
        <f>_xlfn.CONCAT("https://raw.githubusercontent.com/LaryBird12/geo-images/main/images/",Table_Master_Inventory[[#This Row],[Master Record ID]],".jpg")</f>
        <v>https://raw.githubusercontent.com/LaryBird12/geo-images/main/images/264.jpg</v>
      </c>
      <c r="P275" s="3"/>
      <c r="Q275" t="b">
        <v>1</v>
      </c>
      <c r="R275" t="b">
        <v>0</v>
      </c>
      <c r="S275" t="b">
        <v>0</v>
      </c>
      <c r="T275" t="b">
        <v>0</v>
      </c>
      <c r="U275" t="b">
        <v>1</v>
      </c>
      <c r="V275" t="b">
        <v>0</v>
      </c>
      <c r="W275" t="b">
        <v>0</v>
      </c>
    </row>
    <row r="276" spans="1:23" ht="14.25" hidden="1" x14ac:dyDescent="0.45">
      <c r="A276">
        <v>265</v>
      </c>
      <c r="B276" t="s">
        <v>656</v>
      </c>
      <c r="C276" t="s">
        <v>299</v>
      </c>
      <c r="D276" t="s">
        <v>657</v>
      </c>
      <c r="F276" s="2" t="s">
        <v>658</v>
      </c>
      <c r="I276" t="s">
        <v>659</v>
      </c>
      <c r="J276" s="2"/>
      <c r="K276" s="2">
        <v>20</v>
      </c>
      <c r="L276" s="2">
        <v>10</v>
      </c>
      <c r="M276" s="1">
        <v>2.1</v>
      </c>
      <c r="N276" t="s">
        <v>660</v>
      </c>
      <c r="O276" t="str">
        <f>_xlfn.CONCAT("https://raw.githubusercontent.com/LaryBird12/geo-images/main/images/",Table_Master_Inventory[[#This Row],[Master Record ID]],".jpg")</f>
        <v>https://raw.githubusercontent.com/LaryBird12/geo-images/main/images/265.jpg</v>
      </c>
      <c r="P276" s="3"/>
      <c r="Q276" t="b">
        <v>1</v>
      </c>
      <c r="R276" t="b">
        <v>0</v>
      </c>
      <c r="S276" t="b">
        <v>0</v>
      </c>
      <c r="T276" t="b">
        <v>0</v>
      </c>
      <c r="U276" t="b">
        <v>1</v>
      </c>
      <c r="V276" t="b">
        <v>0</v>
      </c>
      <c r="W276" t="b">
        <v>0</v>
      </c>
    </row>
    <row r="277" spans="1:23" ht="14.25" hidden="1" x14ac:dyDescent="0.45">
      <c r="A277">
        <v>266</v>
      </c>
      <c r="B277" t="s">
        <v>661</v>
      </c>
      <c r="C277" t="s">
        <v>299</v>
      </c>
      <c r="D277" t="s">
        <v>657</v>
      </c>
      <c r="F277" s="2" t="s">
        <v>658</v>
      </c>
      <c r="I277" t="s">
        <v>659</v>
      </c>
      <c r="J277" s="2"/>
      <c r="K277" s="2">
        <v>2</v>
      </c>
      <c r="L277" s="2">
        <v>2</v>
      </c>
      <c r="M277" s="1">
        <v>2.65</v>
      </c>
      <c r="O277" t="str">
        <f>_xlfn.CONCAT("https://raw.githubusercontent.com/LaryBird12/geo-images/main/images/",Table_Master_Inventory[[#This Row],[Master Record ID]],".jpg")</f>
        <v>https://raw.githubusercontent.com/LaryBird12/geo-images/main/images/266.jpg</v>
      </c>
      <c r="P277" s="3"/>
      <c r="Q277" t="b">
        <v>1</v>
      </c>
      <c r="R277" t="b">
        <v>0</v>
      </c>
      <c r="S277" t="b">
        <v>0</v>
      </c>
      <c r="T277" t="b">
        <v>0</v>
      </c>
      <c r="U277" t="b">
        <v>1</v>
      </c>
      <c r="V277" t="b">
        <v>0</v>
      </c>
      <c r="W277" t="b">
        <v>0</v>
      </c>
    </row>
    <row r="278" spans="1:23" ht="14.25" hidden="1" x14ac:dyDescent="0.45">
      <c r="A278">
        <v>267</v>
      </c>
      <c r="B278" t="s">
        <v>662</v>
      </c>
      <c r="C278" t="s">
        <v>257</v>
      </c>
      <c r="D278" t="s">
        <v>663</v>
      </c>
      <c r="F278" s="2" t="s">
        <v>664</v>
      </c>
      <c r="I278" t="s">
        <v>29</v>
      </c>
      <c r="J278" s="2">
        <v>1001295125</v>
      </c>
      <c r="K278" s="2">
        <v>5</v>
      </c>
      <c r="L278" s="2">
        <v>1</v>
      </c>
      <c r="M278" s="1">
        <v>9.9700000000000006</v>
      </c>
      <c r="O278" t="str">
        <f>_xlfn.CONCAT("https://raw.githubusercontent.com/LaryBird12/geo-images/main/images/",Table_Master_Inventory[[#This Row],[Master Record ID]],".jpg")</f>
        <v>https://raw.githubusercontent.com/LaryBird12/geo-images/main/images/267.jpg</v>
      </c>
      <c r="P278" s="3"/>
      <c r="Q278" t="b">
        <v>1</v>
      </c>
      <c r="R278" t="b">
        <v>0</v>
      </c>
      <c r="S278" t="b">
        <v>0</v>
      </c>
      <c r="T278" t="b">
        <v>0</v>
      </c>
      <c r="U278" t="b">
        <v>1</v>
      </c>
      <c r="V278" t="b">
        <v>0</v>
      </c>
      <c r="W278" t="b">
        <v>0</v>
      </c>
    </row>
    <row r="279" spans="1:23" ht="14.25" hidden="1" x14ac:dyDescent="0.45">
      <c r="A279">
        <v>268</v>
      </c>
      <c r="B279" t="s">
        <v>665</v>
      </c>
      <c r="C279" t="s">
        <v>257</v>
      </c>
      <c r="D279" t="s">
        <v>663</v>
      </c>
      <c r="F279" s="2" t="s">
        <v>666</v>
      </c>
      <c r="I279" t="s">
        <v>101</v>
      </c>
      <c r="J279" s="2" t="s">
        <v>667</v>
      </c>
      <c r="K279" s="2">
        <v>5</v>
      </c>
      <c r="L279" s="2">
        <v>1</v>
      </c>
      <c r="M279" s="1">
        <v>5.74</v>
      </c>
      <c r="O279" t="str">
        <f>_xlfn.CONCAT("https://raw.githubusercontent.com/LaryBird12/geo-images/main/images/",Table_Master_Inventory[[#This Row],[Master Record ID]],".jpg")</f>
        <v>https://raw.githubusercontent.com/LaryBird12/geo-images/main/images/268.jpg</v>
      </c>
      <c r="P279" s="3"/>
      <c r="Q279" t="b">
        <v>1</v>
      </c>
      <c r="R279" t="b">
        <v>0</v>
      </c>
      <c r="S279" t="b">
        <v>0</v>
      </c>
      <c r="T279" t="b">
        <v>0</v>
      </c>
      <c r="U279" t="b">
        <v>1</v>
      </c>
      <c r="V279" t="b">
        <v>0</v>
      </c>
      <c r="W279" t="b">
        <v>0</v>
      </c>
    </row>
    <row r="280" spans="1:23" ht="14.25" hidden="1" x14ac:dyDescent="0.45">
      <c r="A280">
        <v>269</v>
      </c>
      <c r="B280" t="s">
        <v>668</v>
      </c>
      <c r="C280" t="s">
        <v>257</v>
      </c>
      <c r="D280" t="s">
        <v>663</v>
      </c>
      <c r="F280" s="2" t="s">
        <v>78</v>
      </c>
      <c r="I280" t="s">
        <v>29</v>
      </c>
      <c r="J280" s="2">
        <v>404383</v>
      </c>
      <c r="K280" s="2">
        <v>5</v>
      </c>
      <c r="L280" s="2">
        <v>1</v>
      </c>
      <c r="M280" s="1">
        <v>1.49</v>
      </c>
      <c r="N280" t="s">
        <v>31</v>
      </c>
      <c r="O280" t="str">
        <f>_xlfn.CONCAT("https://raw.githubusercontent.com/LaryBird12/geo-images/main/images/",Table_Master_Inventory[[#This Row],[Master Record ID]],".jpg")</f>
        <v>https://raw.githubusercontent.com/LaryBird12/geo-images/main/images/269.jpg</v>
      </c>
      <c r="P280" s="3"/>
      <c r="Q280" t="b">
        <v>1</v>
      </c>
      <c r="R280" t="b">
        <v>0</v>
      </c>
      <c r="S280" t="b">
        <v>0</v>
      </c>
      <c r="T280" t="b">
        <v>0</v>
      </c>
      <c r="U280" t="b">
        <v>1</v>
      </c>
      <c r="V280" t="b">
        <v>0</v>
      </c>
      <c r="W280" t="b">
        <v>0</v>
      </c>
    </row>
    <row r="281" spans="1:23" ht="14.25" hidden="1" x14ac:dyDescent="0.45">
      <c r="A281">
        <v>270</v>
      </c>
      <c r="B281" t="s">
        <v>669</v>
      </c>
      <c r="C281" t="s">
        <v>257</v>
      </c>
      <c r="D281" t="s">
        <v>663</v>
      </c>
      <c r="F281" s="2" t="s">
        <v>415</v>
      </c>
      <c r="I281" t="s">
        <v>29</v>
      </c>
      <c r="J281" s="2">
        <v>405227</v>
      </c>
      <c r="K281" s="2">
        <v>5</v>
      </c>
      <c r="L281" s="2">
        <v>1</v>
      </c>
      <c r="M281" s="1">
        <v>0.93</v>
      </c>
      <c r="N281" t="s">
        <v>31</v>
      </c>
      <c r="O281" t="str">
        <f>_xlfn.CONCAT("https://raw.githubusercontent.com/LaryBird12/geo-images/main/images/",Table_Master_Inventory[[#This Row],[Master Record ID]],".jpg")</f>
        <v>https://raw.githubusercontent.com/LaryBird12/geo-images/main/images/270.jpg</v>
      </c>
      <c r="P281" s="3"/>
      <c r="Q281" t="b">
        <v>1</v>
      </c>
      <c r="R281" t="b">
        <v>0</v>
      </c>
      <c r="S281" t="b">
        <v>0</v>
      </c>
      <c r="T281" t="b">
        <v>0</v>
      </c>
      <c r="U281" t="b">
        <v>1</v>
      </c>
      <c r="V281" t="b">
        <v>0</v>
      </c>
      <c r="W281" t="b">
        <v>0</v>
      </c>
    </row>
    <row r="282" spans="1:23" ht="14.25" hidden="1" x14ac:dyDescent="0.45">
      <c r="A282">
        <v>271</v>
      </c>
      <c r="B282" t="s">
        <v>670</v>
      </c>
      <c r="C282" t="s">
        <v>257</v>
      </c>
      <c r="D282" t="s">
        <v>663</v>
      </c>
      <c r="F282" s="2" t="s">
        <v>671</v>
      </c>
      <c r="I282" t="s">
        <v>29</v>
      </c>
      <c r="J282" s="2">
        <v>406095</v>
      </c>
      <c r="K282" s="2">
        <v>5</v>
      </c>
      <c r="L282" s="2">
        <v>1</v>
      </c>
      <c r="M282" s="1">
        <v>1.49</v>
      </c>
      <c r="N282" t="s">
        <v>31</v>
      </c>
      <c r="O282" t="str">
        <f>_xlfn.CONCAT("https://raw.githubusercontent.com/LaryBird12/geo-images/main/images/",Table_Master_Inventory[[#This Row],[Master Record ID]],".jpg")</f>
        <v>https://raw.githubusercontent.com/LaryBird12/geo-images/main/images/271.jpg</v>
      </c>
      <c r="P282" s="3"/>
      <c r="Q282" t="b">
        <v>1</v>
      </c>
      <c r="R282" t="b">
        <v>0</v>
      </c>
      <c r="S282" t="b">
        <v>0</v>
      </c>
      <c r="T282" t="b">
        <v>0</v>
      </c>
      <c r="U282" t="b">
        <v>1</v>
      </c>
      <c r="V282" t="b">
        <v>0</v>
      </c>
      <c r="W282" t="b">
        <v>0</v>
      </c>
    </row>
    <row r="283" spans="1:23" ht="14.25" hidden="1" x14ac:dyDescent="0.45">
      <c r="A283">
        <v>272</v>
      </c>
      <c r="B283" t="s">
        <v>672</v>
      </c>
      <c r="C283" t="s">
        <v>257</v>
      </c>
      <c r="D283" t="s">
        <v>663</v>
      </c>
      <c r="F283" s="2" t="s">
        <v>673</v>
      </c>
      <c r="I283" t="s">
        <v>29</v>
      </c>
      <c r="J283" s="2">
        <v>405639</v>
      </c>
      <c r="K283" s="2">
        <v>5</v>
      </c>
      <c r="L283" s="2">
        <v>1</v>
      </c>
      <c r="M283" s="1">
        <v>1.2</v>
      </c>
      <c r="N283" t="s">
        <v>31</v>
      </c>
      <c r="O283" t="str">
        <f>_xlfn.CONCAT("https://raw.githubusercontent.com/LaryBird12/geo-images/main/images/",Table_Master_Inventory[[#This Row],[Master Record ID]],".jpg")</f>
        <v>https://raw.githubusercontent.com/LaryBird12/geo-images/main/images/272.jpg</v>
      </c>
      <c r="P283" s="3"/>
      <c r="Q283" t="b">
        <v>1</v>
      </c>
      <c r="R283" t="b">
        <v>0</v>
      </c>
      <c r="S283" t="b">
        <v>0</v>
      </c>
      <c r="T283" t="b">
        <v>0</v>
      </c>
      <c r="U283" t="b">
        <v>1</v>
      </c>
      <c r="V283" t="b">
        <v>0</v>
      </c>
      <c r="W283" t="b">
        <v>0</v>
      </c>
    </row>
    <row r="284" spans="1:23" ht="14.25" hidden="1" x14ac:dyDescent="0.45">
      <c r="A284">
        <v>273</v>
      </c>
      <c r="B284" t="s">
        <v>674</v>
      </c>
      <c r="C284" t="s">
        <v>257</v>
      </c>
      <c r="D284" t="s">
        <v>663</v>
      </c>
      <c r="F284" s="2" t="s">
        <v>415</v>
      </c>
      <c r="I284" t="s">
        <v>29</v>
      </c>
      <c r="J284" s="2" t="s">
        <v>675</v>
      </c>
      <c r="K284" s="2">
        <v>5</v>
      </c>
      <c r="L284" s="2">
        <v>1</v>
      </c>
      <c r="M284" s="1">
        <v>1.19</v>
      </c>
      <c r="N284" t="s">
        <v>31</v>
      </c>
      <c r="O284" t="str">
        <f>_xlfn.CONCAT("https://raw.githubusercontent.com/LaryBird12/geo-images/main/images/",Table_Master_Inventory[[#This Row],[Master Record ID]],".jpg")</f>
        <v>https://raw.githubusercontent.com/LaryBird12/geo-images/main/images/273.jpg</v>
      </c>
      <c r="P284" s="3"/>
      <c r="Q284" t="b">
        <v>1</v>
      </c>
      <c r="R284" t="b">
        <v>0</v>
      </c>
      <c r="S284" t="b">
        <v>0</v>
      </c>
      <c r="T284" t="b">
        <v>0</v>
      </c>
      <c r="U284" t="b">
        <v>1</v>
      </c>
      <c r="V284" t="b">
        <v>0</v>
      </c>
      <c r="W284" t="b">
        <v>0</v>
      </c>
    </row>
    <row r="285" spans="1:23" ht="14.25" hidden="1" x14ac:dyDescent="0.45">
      <c r="A285">
        <v>274</v>
      </c>
      <c r="B285" t="s">
        <v>676</v>
      </c>
      <c r="C285" t="s">
        <v>257</v>
      </c>
      <c r="D285" t="s">
        <v>663</v>
      </c>
      <c r="F285" s="2" t="s">
        <v>415</v>
      </c>
      <c r="I285" t="s">
        <v>29</v>
      </c>
      <c r="J285" s="2">
        <v>406365</v>
      </c>
      <c r="K285" s="2">
        <v>5</v>
      </c>
      <c r="L285" s="2">
        <v>1</v>
      </c>
      <c r="M285" s="1">
        <v>2.74</v>
      </c>
      <c r="N285" t="s">
        <v>31</v>
      </c>
      <c r="O285" t="str">
        <f>_xlfn.CONCAT("https://raw.githubusercontent.com/LaryBird12/geo-images/main/images/",Table_Master_Inventory[[#This Row],[Master Record ID]],".jpg")</f>
        <v>https://raw.githubusercontent.com/LaryBird12/geo-images/main/images/274.jpg</v>
      </c>
      <c r="P285" s="3"/>
      <c r="Q285" t="b">
        <v>1</v>
      </c>
      <c r="R285" t="b">
        <v>0</v>
      </c>
      <c r="S285" t="b">
        <v>0</v>
      </c>
      <c r="T285" t="b">
        <v>0</v>
      </c>
      <c r="U285" t="b">
        <v>1</v>
      </c>
      <c r="V285" t="b">
        <v>0</v>
      </c>
      <c r="W285" t="b">
        <v>0</v>
      </c>
    </row>
    <row r="286" spans="1:23" ht="14.25" hidden="1" x14ac:dyDescent="0.45">
      <c r="A286">
        <v>275</v>
      </c>
      <c r="B286" t="s">
        <v>677</v>
      </c>
      <c r="C286" t="s">
        <v>257</v>
      </c>
      <c r="D286" t="s">
        <v>258</v>
      </c>
      <c r="F286" s="2" t="s">
        <v>678</v>
      </c>
      <c r="I286" t="s">
        <v>29</v>
      </c>
      <c r="J286" s="2">
        <v>1003142694</v>
      </c>
      <c r="K286" s="2">
        <v>1</v>
      </c>
      <c r="L286" s="2"/>
      <c r="M286" s="1">
        <v>11.97</v>
      </c>
      <c r="O286" t="str">
        <f>_xlfn.CONCAT("https://raw.githubusercontent.com/LaryBird12/geo-images/main/images/",Table_Master_Inventory[[#This Row],[Master Record ID]],".jpg")</f>
        <v>https://raw.githubusercontent.com/LaryBird12/geo-images/main/images/275.jpg</v>
      </c>
      <c r="P286" s="3"/>
      <c r="Q286" t="b">
        <v>1</v>
      </c>
      <c r="R286" t="b">
        <v>0</v>
      </c>
      <c r="S286" t="b">
        <v>0</v>
      </c>
      <c r="T286" t="b">
        <v>0</v>
      </c>
      <c r="U286" t="b">
        <v>1</v>
      </c>
      <c r="V286" t="b">
        <v>0</v>
      </c>
      <c r="W286" t="b">
        <v>0</v>
      </c>
    </row>
    <row r="287" spans="1:23" ht="14.25" hidden="1" x14ac:dyDescent="0.45">
      <c r="A287">
        <v>276</v>
      </c>
      <c r="B287" t="s">
        <v>679</v>
      </c>
      <c r="C287" t="s">
        <v>257</v>
      </c>
      <c r="D287" t="s">
        <v>258</v>
      </c>
      <c r="F287" s="2" t="s">
        <v>467</v>
      </c>
      <c r="I287" t="s">
        <v>505</v>
      </c>
      <c r="J287" s="2" t="s">
        <v>680</v>
      </c>
      <c r="K287" s="2">
        <v>4</v>
      </c>
      <c r="L287" s="2">
        <v>1</v>
      </c>
      <c r="M287" s="1"/>
      <c r="O287" t="str">
        <f>_xlfn.CONCAT("https://raw.githubusercontent.com/LaryBird12/geo-images/main/images/",Table_Master_Inventory[[#This Row],[Master Record ID]],".jpg")</f>
        <v>https://raw.githubusercontent.com/LaryBird12/geo-images/main/images/276.jpg</v>
      </c>
      <c r="P287" s="3"/>
      <c r="Q287" t="b">
        <v>1</v>
      </c>
      <c r="R287" t="b">
        <v>0</v>
      </c>
      <c r="S287" t="b">
        <v>0</v>
      </c>
      <c r="T287" t="b">
        <v>0</v>
      </c>
      <c r="U287" t="b">
        <v>1</v>
      </c>
      <c r="V287" t="b">
        <v>0</v>
      </c>
      <c r="W287" t="b">
        <v>0</v>
      </c>
    </row>
    <row r="288" spans="1:23" ht="14.25" hidden="1" x14ac:dyDescent="0.45">
      <c r="A288">
        <v>277</v>
      </c>
      <c r="B288" t="s">
        <v>681</v>
      </c>
      <c r="C288" t="s">
        <v>257</v>
      </c>
      <c r="D288" t="s">
        <v>258</v>
      </c>
      <c r="F288" s="2" t="s">
        <v>682</v>
      </c>
      <c r="I288" t="s">
        <v>505</v>
      </c>
      <c r="J288" s="2" t="s">
        <v>683</v>
      </c>
      <c r="K288" s="2">
        <v>4</v>
      </c>
      <c r="L288" s="2">
        <v>1</v>
      </c>
      <c r="M288" s="1"/>
      <c r="O288" t="str">
        <f>_xlfn.CONCAT("https://raw.githubusercontent.com/LaryBird12/geo-images/main/images/",Table_Master_Inventory[[#This Row],[Master Record ID]],".jpg")</f>
        <v>https://raw.githubusercontent.com/LaryBird12/geo-images/main/images/277.jpg</v>
      </c>
      <c r="P288" s="3"/>
      <c r="Q288" t="b">
        <v>1</v>
      </c>
      <c r="R288" t="b">
        <v>0</v>
      </c>
      <c r="S288" t="b">
        <v>0</v>
      </c>
      <c r="T288" t="b">
        <v>0</v>
      </c>
      <c r="U288" t="b">
        <v>1</v>
      </c>
      <c r="V288" t="b">
        <v>0</v>
      </c>
      <c r="W288" t="b">
        <v>0</v>
      </c>
    </row>
    <row r="289" spans="1:23" ht="14.25" hidden="1" x14ac:dyDescent="0.45">
      <c r="A289">
        <v>278</v>
      </c>
      <c r="B289" t="s">
        <v>684</v>
      </c>
      <c r="C289" t="s">
        <v>257</v>
      </c>
      <c r="D289" t="s">
        <v>258</v>
      </c>
      <c r="F289" s="2" t="s">
        <v>685</v>
      </c>
      <c r="I289" t="s">
        <v>29</v>
      </c>
      <c r="J289" s="2">
        <v>698630</v>
      </c>
      <c r="K289" s="2">
        <v>1</v>
      </c>
      <c r="L289" s="2"/>
      <c r="M289" s="1">
        <v>7.79</v>
      </c>
      <c r="N289" t="s">
        <v>31</v>
      </c>
      <c r="O289" t="str">
        <f>_xlfn.CONCAT("https://raw.githubusercontent.com/LaryBird12/geo-images/main/images/",Table_Master_Inventory[[#This Row],[Master Record ID]],".jpg")</f>
        <v>https://raw.githubusercontent.com/LaryBird12/geo-images/main/images/278.jpg</v>
      </c>
      <c r="P289" s="3"/>
      <c r="Q289" t="b">
        <v>1</v>
      </c>
      <c r="R289" t="b">
        <v>0</v>
      </c>
      <c r="S289" t="b">
        <v>0</v>
      </c>
      <c r="T289" t="b">
        <v>0</v>
      </c>
      <c r="U289" t="b">
        <v>1</v>
      </c>
      <c r="V289" t="b">
        <v>0</v>
      </c>
      <c r="W289" t="b">
        <v>0</v>
      </c>
    </row>
    <row r="290" spans="1:23" ht="14.25" hidden="1" x14ac:dyDescent="0.45">
      <c r="A290">
        <v>279</v>
      </c>
      <c r="B290" t="s">
        <v>686</v>
      </c>
      <c r="C290" t="s">
        <v>277</v>
      </c>
      <c r="F290" s="2" t="s">
        <v>687</v>
      </c>
      <c r="I290" t="s">
        <v>29</v>
      </c>
      <c r="J290" s="2">
        <v>1002339401</v>
      </c>
      <c r="K290" s="2">
        <v>5</v>
      </c>
      <c r="L290" s="2">
        <v>1</v>
      </c>
      <c r="M290" s="1">
        <v>3.97</v>
      </c>
      <c r="O290" t="str">
        <f>_xlfn.CONCAT("https://raw.githubusercontent.com/LaryBird12/geo-images/main/images/",Table_Master_Inventory[[#This Row],[Master Record ID]],".jpg")</f>
        <v>https://raw.githubusercontent.com/LaryBird12/geo-images/main/images/279.jpg</v>
      </c>
      <c r="P290" s="3"/>
      <c r="Q290" t="b">
        <v>1</v>
      </c>
      <c r="R290" t="b">
        <v>0</v>
      </c>
      <c r="S290" t="b">
        <v>0</v>
      </c>
      <c r="T290" t="b">
        <v>0</v>
      </c>
      <c r="U290" t="b">
        <v>1</v>
      </c>
      <c r="V290" t="b">
        <v>0</v>
      </c>
      <c r="W290" t="b">
        <v>0</v>
      </c>
    </row>
    <row r="291" spans="1:23" ht="14.25" hidden="1" x14ac:dyDescent="0.45">
      <c r="A291">
        <v>280</v>
      </c>
      <c r="B291" t="s">
        <v>688</v>
      </c>
      <c r="C291" t="s">
        <v>25</v>
      </c>
      <c r="D291" t="s">
        <v>217</v>
      </c>
      <c r="E291" t="s">
        <v>58</v>
      </c>
      <c r="F291" s="2" t="s">
        <v>68</v>
      </c>
      <c r="I291" t="s">
        <v>29</v>
      </c>
      <c r="J291" s="2">
        <v>1002245884</v>
      </c>
      <c r="K291" s="2">
        <v>10</v>
      </c>
      <c r="L291" s="2">
        <v>4</v>
      </c>
      <c r="M291" s="1">
        <v>0.8</v>
      </c>
      <c r="O291" t="str">
        <f>_xlfn.CONCAT("https://raw.githubusercontent.com/LaryBird12/geo-images/main/images/",Table_Master_Inventory[[#This Row],[Master Record ID]],".jpg")</f>
        <v>https://raw.githubusercontent.com/LaryBird12/geo-images/main/images/280.jpg</v>
      </c>
      <c r="P291" s="3"/>
      <c r="Q291" t="b">
        <v>0</v>
      </c>
      <c r="R291" t="b">
        <v>0</v>
      </c>
      <c r="S291" t="b">
        <v>0</v>
      </c>
      <c r="T291" t="b">
        <v>0</v>
      </c>
      <c r="U291" t="b">
        <v>1</v>
      </c>
      <c r="V291" t="b">
        <v>0</v>
      </c>
      <c r="W291" t="b">
        <v>0</v>
      </c>
    </row>
    <row r="292" spans="1:23" ht="14.25" hidden="1" x14ac:dyDescent="0.45">
      <c r="A292">
        <v>281</v>
      </c>
      <c r="B292" t="s">
        <v>689</v>
      </c>
      <c r="C292" t="s">
        <v>25</v>
      </c>
      <c r="D292" t="s">
        <v>26</v>
      </c>
      <c r="F292" s="2" t="s">
        <v>690</v>
      </c>
      <c r="I292" t="s">
        <v>353</v>
      </c>
      <c r="J292" s="2" t="s">
        <v>691</v>
      </c>
      <c r="K292" s="2">
        <v>10</v>
      </c>
      <c r="L292" s="2">
        <v>4</v>
      </c>
      <c r="M292" s="1">
        <v>126.95</v>
      </c>
      <c r="O292" t="str">
        <f>_xlfn.CONCAT("https://raw.githubusercontent.com/LaryBird12/geo-images/main/images/",Table_Master_Inventory[[#This Row],[Master Record ID]],".jpg")</f>
        <v>https://raw.githubusercontent.com/LaryBird12/geo-images/main/images/281.jpg</v>
      </c>
      <c r="P292" s="3"/>
      <c r="Q292" t="b">
        <v>1</v>
      </c>
      <c r="R292" t="b">
        <v>1</v>
      </c>
      <c r="S292" t="b">
        <v>0</v>
      </c>
      <c r="T292" t="b">
        <v>0</v>
      </c>
      <c r="U292" t="b">
        <v>1</v>
      </c>
      <c r="V292" t="b">
        <v>0</v>
      </c>
      <c r="W292" t="b">
        <v>0</v>
      </c>
    </row>
    <row r="293" spans="1:23" ht="14.25" hidden="1" x14ac:dyDescent="0.45">
      <c r="A293">
        <v>282</v>
      </c>
      <c r="B293" t="s">
        <v>692</v>
      </c>
      <c r="C293" t="s">
        <v>25</v>
      </c>
      <c r="D293" t="s">
        <v>26</v>
      </c>
      <c r="F293" s="2" t="s">
        <v>332</v>
      </c>
      <c r="I293" t="s">
        <v>40</v>
      </c>
      <c r="J293" s="2" t="s">
        <v>693</v>
      </c>
      <c r="K293" s="2">
        <v>4</v>
      </c>
      <c r="L293" s="2">
        <v>3</v>
      </c>
      <c r="M293" s="1">
        <v>18.71</v>
      </c>
      <c r="O293" t="str">
        <f>_xlfn.CONCAT("https://raw.githubusercontent.com/LaryBird12/geo-images/main/images/",Table_Master_Inventory[[#This Row],[Master Record ID]],".jpg")</f>
        <v>https://raw.githubusercontent.com/LaryBird12/geo-images/main/images/282.jpg</v>
      </c>
      <c r="P293" s="3"/>
      <c r="Q293" t="b">
        <v>1</v>
      </c>
      <c r="R293" t="b">
        <v>1</v>
      </c>
      <c r="S293" t="b">
        <v>0</v>
      </c>
      <c r="T293" t="b">
        <v>0</v>
      </c>
      <c r="U293" t="b">
        <v>1</v>
      </c>
      <c r="V293" t="b">
        <v>0</v>
      </c>
      <c r="W293" t="b">
        <v>0</v>
      </c>
    </row>
    <row r="294" spans="1:23" ht="14.25" hidden="1" x14ac:dyDescent="0.45">
      <c r="A294">
        <v>283</v>
      </c>
      <c r="B294" t="s">
        <v>694</v>
      </c>
      <c r="C294" t="s">
        <v>25</v>
      </c>
      <c r="D294" t="s">
        <v>26</v>
      </c>
      <c r="E294" t="s">
        <v>695</v>
      </c>
      <c r="F294" s="2" t="s">
        <v>696</v>
      </c>
      <c r="I294" t="s">
        <v>353</v>
      </c>
      <c r="J294" s="2" t="s">
        <v>697</v>
      </c>
      <c r="K294" s="2" t="s">
        <v>698</v>
      </c>
      <c r="L294" s="2" t="s">
        <v>698</v>
      </c>
      <c r="M294" s="1">
        <v>2.39</v>
      </c>
      <c r="N294" t="s">
        <v>356</v>
      </c>
      <c r="O294" t="str">
        <f>_xlfn.CONCAT("https://raw.githubusercontent.com/LaryBird12/geo-images/main/images/",Table_Master_Inventory[[#This Row],[Master Record ID]],".jpg")</f>
        <v>https://raw.githubusercontent.com/LaryBird12/geo-images/main/images/283.jpg</v>
      </c>
      <c r="P294" s="3"/>
      <c r="Q294" t="b">
        <v>1</v>
      </c>
      <c r="R294" t="b">
        <v>1</v>
      </c>
      <c r="S294" t="b">
        <v>0</v>
      </c>
      <c r="T294" t="b">
        <v>0</v>
      </c>
      <c r="U294" t="b">
        <v>1</v>
      </c>
      <c r="V294" t="b">
        <v>0</v>
      </c>
      <c r="W294" t="b">
        <v>0</v>
      </c>
    </row>
    <row r="295" spans="1:23" ht="14.25" hidden="1" x14ac:dyDescent="0.45">
      <c r="A295">
        <v>284</v>
      </c>
      <c r="B295" t="s">
        <v>699</v>
      </c>
      <c r="C295" t="s">
        <v>299</v>
      </c>
      <c r="D295" t="s">
        <v>700</v>
      </c>
      <c r="F295" s="2" t="s">
        <v>701</v>
      </c>
      <c r="I295" t="s">
        <v>702</v>
      </c>
      <c r="J295" s="2" t="s">
        <v>703</v>
      </c>
      <c r="K295" s="2">
        <v>6</v>
      </c>
      <c r="L295" s="2">
        <v>6</v>
      </c>
      <c r="M295" s="1">
        <v>22.83</v>
      </c>
      <c r="N295" t="s">
        <v>31</v>
      </c>
      <c r="O295" t="str">
        <f>_xlfn.CONCAT("https://raw.githubusercontent.com/LaryBird12/geo-images/main/images/",Table_Master_Inventory[[#This Row],[Master Record ID]],".jpg")</f>
        <v>https://raw.githubusercontent.com/LaryBird12/geo-images/main/images/284.jpg</v>
      </c>
      <c r="P295" s="3"/>
      <c r="Q295" t="b">
        <v>1</v>
      </c>
      <c r="R295" t="b">
        <v>1</v>
      </c>
      <c r="S295" t="b">
        <v>0</v>
      </c>
      <c r="T295" t="b">
        <v>0</v>
      </c>
      <c r="U295" t="b">
        <v>1</v>
      </c>
      <c r="V295" t="b">
        <v>0</v>
      </c>
      <c r="W295" t="b">
        <v>0</v>
      </c>
    </row>
    <row r="296" spans="1:23" ht="14.25" hidden="1" x14ac:dyDescent="0.45">
      <c r="A296">
        <v>285</v>
      </c>
      <c r="B296" t="s">
        <v>704</v>
      </c>
      <c r="C296" t="s">
        <v>299</v>
      </c>
      <c r="D296" t="s">
        <v>700</v>
      </c>
      <c r="F296" s="2" t="s">
        <v>705</v>
      </c>
      <c r="I296" t="s">
        <v>702</v>
      </c>
      <c r="J296" s="2" t="s">
        <v>706</v>
      </c>
      <c r="K296" s="2">
        <v>6</v>
      </c>
      <c r="L296" s="2">
        <v>6</v>
      </c>
      <c r="M296" s="1">
        <v>22.83</v>
      </c>
      <c r="N296" t="s">
        <v>31</v>
      </c>
      <c r="O296" t="str">
        <f>_xlfn.CONCAT("https://raw.githubusercontent.com/LaryBird12/geo-images/main/images/",Table_Master_Inventory[[#This Row],[Master Record ID]],".jpg")</f>
        <v>https://raw.githubusercontent.com/LaryBird12/geo-images/main/images/285.jpg</v>
      </c>
      <c r="P296" s="3"/>
      <c r="Q296" t="b">
        <v>1</v>
      </c>
      <c r="R296" t="b">
        <v>1</v>
      </c>
      <c r="S296" t="b">
        <v>0</v>
      </c>
      <c r="T296" t="b">
        <v>0</v>
      </c>
      <c r="U296" t="b">
        <v>1</v>
      </c>
      <c r="V296" t="b">
        <v>0</v>
      </c>
      <c r="W296" t="b">
        <v>0</v>
      </c>
    </row>
    <row r="297" spans="1:23" ht="14.25" hidden="1" x14ac:dyDescent="0.45">
      <c r="A297">
        <v>286</v>
      </c>
      <c r="B297" t="s">
        <v>707</v>
      </c>
      <c r="C297" t="s">
        <v>569</v>
      </c>
      <c r="D297" t="s">
        <v>397</v>
      </c>
      <c r="F297" s="2" t="s">
        <v>68</v>
      </c>
      <c r="I297" t="s">
        <v>391</v>
      </c>
      <c r="J297" s="2" t="s">
        <v>708</v>
      </c>
      <c r="K297" s="2">
        <v>100</v>
      </c>
      <c r="L297" s="2">
        <v>50</v>
      </c>
      <c r="M297" s="1">
        <v>244.3</v>
      </c>
      <c r="N297" t="s">
        <v>31</v>
      </c>
      <c r="O297" t="str">
        <f>_xlfn.CONCAT("https://raw.githubusercontent.com/LaryBird12/geo-images/main/images/",Table_Master_Inventory[[#This Row],[Master Record ID]],".jpg")</f>
        <v>https://raw.githubusercontent.com/LaryBird12/geo-images/main/images/286.jpg</v>
      </c>
      <c r="P297" s="3"/>
      <c r="Q297" t="b">
        <v>1</v>
      </c>
      <c r="R297" t="b">
        <v>0</v>
      </c>
      <c r="S297" t="b">
        <v>0</v>
      </c>
      <c r="T297" t="b">
        <v>0</v>
      </c>
      <c r="U297" t="b">
        <v>1</v>
      </c>
      <c r="V297" t="b">
        <v>0</v>
      </c>
      <c r="W297" t="b">
        <v>0</v>
      </c>
    </row>
    <row r="298" spans="1:23" ht="14.25" hidden="1" x14ac:dyDescent="0.45">
      <c r="A298">
        <v>287</v>
      </c>
      <c r="B298" t="s">
        <v>709</v>
      </c>
      <c r="C298" t="s">
        <v>569</v>
      </c>
      <c r="D298" t="s">
        <v>397</v>
      </c>
      <c r="F298" s="2" t="s">
        <v>254</v>
      </c>
      <c r="I298" t="s">
        <v>391</v>
      </c>
      <c r="J298" s="2" t="s">
        <v>710</v>
      </c>
      <c r="K298" s="2">
        <v>12</v>
      </c>
      <c r="L298" s="2">
        <v>12</v>
      </c>
      <c r="M298" s="1">
        <v>214.29</v>
      </c>
      <c r="N298" t="s">
        <v>31</v>
      </c>
      <c r="O298" t="str">
        <f>_xlfn.CONCAT("https://raw.githubusercontent.com/LaryBird12/geo-images/main/images/",Table_Master_Inventory[[#This Row],[Master Record ID]],".jpg")</f>
        <v>https://raw.githubusercontent.com/LaryBird12/geo-images/main/images/287.jpg</v>
      </c>
      <c r="P298" s="3"/>
      <c r="Q298" t="b">
        <v>1</v>
      </c>
      <c r="R298" t="b">
        <v>0</v>
      </c>
      <c r="S298" t="b">
        <v>0</v>
      </c>
      <c r="T298" t="b">
        <v>0</v>
      </c>
      <c r="U298" t="b">
        <v>1</v>
      </c>
      <c r="V298" t="b">
        <v>0</v>
      </c>
      <c r="W298" t="b">
        <v>0</v>
      </c>
    </row>
    <row r="299" spans="1:23" ht="14.25" hidden="1" x14ac:dyDescent="0.45">
      <c r="A299">
        <v>288</v>
      </c>
      <c r="B299" t="s">
        <v>711</v>
      </c>
      <c r="C299" t="s">
        <v>482</v>
      </c>
      <c r="F299" s="2" t="s">
        <v>712</v>
      </c>
      <c r="I299" t="s">
        <v>29</v>
      </c>
      <c r="J299" s="2">
        <v>440546</v>
      </c>
      <c r="K299" s="2">
        <v>4</v>
      </c>
      <c r="L299" s="2"/>
      <c r="M299" s="1">
        <v>7.68</v>
      </c>
      <c r="N299" t="s">
        <v>31</v>
      </c>
      <c r="O299" t="str">
        <f>_xlfn.CONCAT("https://raw.githubusercontent.com/LaryBird12/geo-images/main/images/",Table_Master_Inventory[[#This Row],[Master Record ID]],".jpg")</f>
        <v>https://raw.githubusercontent.com/LaryBird12/geo-images/main/images/288.jpg</v>
      </c>
      <c r="P299" s="3"/>
      <c r="Q299" t="b">
        <v>1</v>
      </c>
      <c r="R299" t="b">
        <v>0</v>
      </c>
      <c r="S299" t="b">
        <v>0</v>
      </c>
      <c r="T299" t="b">
        <v>0</v>
      </c>
      <c r="U299" t="b">
        <v>1</v>
      </c>
      <c r="V299" t="b">
        <v>0</v>
      </c>
      <c r="W299" t="b">
        <v>0</v>
      </c>
    </row>
    <row r="300" spans="1:23" ht="14.25" hidden="1" x14ac:dyDescent="0.45">
      <c r="A300">
        <v>289</v>
      </c>
      <c r="B300" t="s">
        <v>713</v>
      </c>
      <c r="C300" t="s">
        <v>257</v>
      </c>
      <c r="D300" t="s">
        <v>714</v>
      </c>
      <c r="F300" s="2" t="s">
        <v>715</v>
      </c>
      <c r="I300" t="s">
        <v>29</v>
      </c>
      <c r="J300" s="2">
        <v>175827</v>
      </c>
      <c r="K300" s="2">
        <v>4</v>
      </c>
      <c r="L300" s="2"/>
      <c r="M300" s="1">
        <v>12.47</v>
      </c>
      <c r="N300" t="s">
        <v>31</v>
      </c>
      <c r="O300" t="str">
        <f>_xlfn.CONCAT("https://raw.githubusercontent.com/LaryBird12/geo-images/main/images/",Table_Master_Inventory[[#This Row],[Master Record ID]],".jpg")</f>
        <v>https://raw.githubusercontent.com/LaryBird12/geo-images/main/images/289.jpg</v>
      </c>
      <c r="P300" s="3"/>
      <c r="Q300" t="b">
        <v>1</v>
      </c>
      <c r="R300" t="b">
        <v>0</v>
      </c>
      <c r="S300" t="b">
        <v>0</v>
      </c>
      <c r="T300" t="b">
        <v>0</v>
      </c>
      <c r="U300" t="b">
        <v>1</v>
      </c>
      <c r="V300" t="b">
        <v>0</v>
      </c>
      <c r="W300" t="b">
        <v>0</v>
      </c>
    </row>
    <row r="301" spans="1:23" ht="14.25" hidden="1" x14ac:dyDescent="0.45">
      <c r="A301">
        <v>290</v>
      </c>
      <c r="B301" t="s">
        <v>716</v>
      </c>
      <c r="C301" t="s">
        <v>257</v>
      </c>
      <c r="D301" t="s">
        <v>714</v>
      </c>
      <c r="F301" s="2" t="s">
        <v>715</v>
      </c>
      <c r="I301" t="s">
        <v>101</v>
      </c>
      <c r="J301" s="2" t="s">
        <v>717</v>
      </c>
      <c r="K301" s="2">
        <v>4</v>
      </c>
      <c r="L301" s="2"/>
      <c r="M301" s="1"/>
      <c r="O301" t="str">
        <f>_xlfn.CONCAT("https://raw.githubusercontent.com/LaryBird12/geo-images/main/images/",Table_Master_Inventory[[#This Row],[Master Record ID]],".jpg")</f>
        <v>https://raw.githubusercontent.com/LaryBird12/geo-images/main/images/290.jpg</v>
      </c>
      <c r="P301" s="3"/>
      <c r="Q301" t="b">
        <v>1</v>
      </c>
      <c r="R301" t="b">
        <v>0</v>
      </c>
      <c r="S301" t="b">
        <v>0</v>
      </c>
      <c r="T301" t="b">
        <v>0</v>
      </c>
      <c r="U301" t="b">
        <v>1</v>
      </c>
      <c r="V301" t="b">
        <v>0</v>
      </c>
      <c r="W301" t="b">
        <v>0</v>
      </c>
    </row>
    <row r="302" spans="1:23" ht="14.25" hidden="1" x14ac:dyDescent="0.45">
      <c r="A302">
        <v>291</v>
      </c>
      <c r="B302" t="s">
        <v>718</v>
      </c>
      <c r="C302" t="s">
        <v>25</v>
      </c>
      <c r="D302" t="s">
        <v>183</v>
      </c>
      <c r="E302" t="s">
        <v>719</v>
      </c>
      <c r="F302" s="2" t="s">
        <v>135</v>
      </c>
      <c r="I302" t="s">
        <v>40</v>
      </c>
      <c r="J302" s="2" t="s">
        <v>720</v>
      </c>
      <c r="K302" s="2">
        <v>12</v>
      </c>
      <c r="L302" s="2"/>
      <c r="M302" s="1">
        <v>34.799999999999997</v>
      </c>
      <c r="O302" t="str">
        <f>_xlfn.CONCAT("https://raw.githubusercontent.com/LaryBird12/geo-images/main/images/",Table_Master_Inventory[[#This Row],[Master Record ID]],".jpg")</f>
        <v>https://raw.githubusercontent.com/LaryBird12/geo-images/main/images/291.jpg</v>
      </c>
      <c r="P302" s="3"/>
      <c r="Q302" t="b">
        <v>1</v>
      </c>
      <c r="R302" t="b">
        <v>1</v>
      </c>
      <c r="S302" t="b">
        <v>0</v>
      </c>
      <c r="T302" t="b">
        <v>0</v>
      </c>
      <c r="U302" t="b">
        <v>1</v>
      </c>
      <c r="V302" t="b">
        <v>0</v>
      </c>
      <c r="W302" t="b">
        <v>0</v>
      </c>
    </row>
    <row r="303" spans="1:23" ht="14.25" hidden="1" x14ac:dyDescent="0.45">
      <c r="A303">
        <v>292</v>
      </c>
      <c r="B303" t="s">
        <v>721</v>
      </c>
      <c r="C303" t="s">
        <v>25</v>
      </c>
      <c r="D303" t="s">
        <v>217</v>
      </c>
      <c r="E303" t="s">
        <v>58</v>
      </c>
      <c r="F303" s="2" t="s">
        <v>415</v>
      </c>
      <c r="I303" t="s">
        <v>40</v>
      </c>
      <c r="J303" s="2">
        <v>447020</v>
      </c>
      <c r="K303" s="2">
        <v>4</v>
      </c>
      <c r="L303" s="2">
        <v>4</v>
      </c>
      <c r="M303" s="1">
        <v>1.71</v>
      </c>
      <c r="O303" t="str">
        <f>_xlfn.CONCAT("https://raw.githubusercontent.com/LaryBird12/geo-images/main/images/",Table_Master_Inventory[[#This Row],[Master Record ID]],".jpg")</f>
        <v>https://raw.githubusercontent.com/LaryBird12/geo-images/main/images/292.jpg</v>
      </c>
      <c r="P303" s="3"/>
      <c r="Q303" t="b">
        <v>1</v>
      </c>
      <c r="R303" t="b">
        <v>1</v>
      </c>
      <c r="S303" t="b">
        <v>0</v>
      </c>
      <c r="T303" t="b">
        <v>0</v>
      </c>
      <c r="U303" t="b">
        <v>1</v>
      </c>
      <c r="V303" t="b">
        <v>0</v>
      </c>
      <c r="W303" t="b">
        <v>0</v>
      </c>
    </row>
    <row r="304" spans="1:23" ht="14.25" hidden="1" x14ac:dyDescent="0.45">
      <c r="A304">
        <v>293</v>
      </c>
      <c r="B304" t="s">
        <v>722</v>
      </c>
      <c r="C304" t="s">
        <v>25</v>
      </c>
      <c r="D304" t="s">
        <v>217</v>
      </c>
      <c r="E304" t="s">
        <v>58</v>
      </c>
      <c r="F304" s="2" t="s">
        <v>723</v>
      </c>
      <c r="I304" t="s">
        <v>40</v>
      </c>
      <c r="J304" s="2" t="s">
        <v>724</v>
      </c>
      <c r="K304" s="2">
        <v>4</v>
      </c>
      <c r="L304" s="2">
        <v>4</v>
      </c>
      <c r="M304" s="1">
        <v>3.75</v>
      </c>
      <c r="O304" t="str">
        <f>_xlfn.CONCAT("https://raw.githubusercontent.com/LaryBird12/geo-images/main/images/",Table_Master_Inventory[[#This Row],[Master Record ID]],".jpg")</f>
        <v>https://raw.githubusercontent.com/LaryBird12/geo-images/main/images/293.jpg</v>
      </c>
      <c r="P304" s="3"/>
      <c r="Q304" t="b">
        <v>1</v>
      </c>
      <c r="R304" t="b">
        <v>1</v>
      </c>
      <c r="S304" t="b">
        <v>0</v>
      </c>
      <c r="T304" t="b">
        <v>0</v>
      </c>
      <c r="U304" t="b">
        <v>1</v>
      </c>
      <c r="V304" t="b">
        <v>0</v>
      </c>
      <c r="W304" t="b">
        <v>0</v>
      </c>
    </row>
    <row r="305" spans="1:23" ht="14.25" hidden="1" x14ac:dyDescent="0.45">
      <c r="A305">
        <v>294</v>
      </c>
      <c r="B305" t="s">
        <v>725</v>
      </c>
      <c r="C305" t="s">
        <v>299</v>
      </c>
      <c r="D305" t="s">
        <v>726</v>
      </c>
      <c r="F305" s="2" t="s">
        <v>727</v>
      </c>
      <c r="I305" t="s">
        <v>40</v>
      </c>
      <c r="J305" s="2" t="s">
        <v>728</v>
      </c>
      <c r="K305" s="2">
        <v>3</v>
      </c>
      <c r="L305" s="2">
        <v>1</v>
      </c>
      <c r="M305" s="1">
        <v>9.16</v>
      </c>
      <c r="O305" t="str">
        <f>_xlfn.CONCAT("https://raw.githubusercontent.com/LaryBird12/geo-images/main/images/",Table_Master_Inventory[[#This Row],[Master Record ID]],".jpg")</f>
        <v>https://raw.githubusercontent.com/LaryBird12/geo-images/main/images/294.jpg</v>
      </c>
      <c r="P305" s="3"/>
      <c r="Q305" t="b">
        <v>1</v>
      </c>
      <c r="R305" t="b">
        <v>1</v>
      </c>
      <c r="S305" t="b">
        <v>0</v>
      </c>
      <c r="T305" t="b">
        <v>0</v>
      </c>
      <c r="U305" t="b">
        <v>1</v>
      </c>
      <c r="V305" t="b">
        <v>0</v>
      </c>
      <c r="W305" t="b">
        <v>0</v>
      </c>
    </row>
    <row r="306" spans="1:23" ht="14.25" hidden="1" x14ac:dyDescent="0.45">
      <c r="A306">
        <v>295</v>
      </c>
      <c r="B306" t="s">
        <v>729</v>
      </c>
      <c r="C306" t="s">
        <v>299</v>
      </c>
      <c r="D306" t="s">
        <v>726</v>
      </c>
      <c r="F306" s="2" t="s">
        <v>730</v>
      </c>
      <c r="I306" t="s">
        <v>731</v>
      </c>
      <c r="J306" s="2"/>
      <c r="K306" s="2">
        <v>1</v>
      </c>
      <c r="L306" s="2"/>
      <c r="M306" s="1">
        <v>300</v>
      </c>
      <c r="O306" t="str">
        <f>_xlfn.CONCAT("https://raw.githubusercontent.com/LaryBird12/geo-images/main/images/",Table_Master_Inventory[[#This Row],[Master Record ID]],".jpg")</f>
        <v>https://raw.githubusercontent.com/LaryBird12/geo-images/main/images/295.jpg</v>
      </c>
      <c r="P306" s="3"/>
      <c r="Q306" t="b">
        <v>1</v>
      </c>
      <c r="R306" t="b">
        <v>1</v>
      </c>
      <c r="S306" t="b">
        <v>0</v>
      </c>
      <c r="T306" t="b">
        <v>0</v>
      </c>
      <c r="U306" t="b">
        <v>1</v>
      </c>
      <c r="V306" t="b">
        <v>0</v>
      </c>
      <c r="W306" t="b">
        <v>0</v>
      </c>
    </row>
    <row r="307" spans="1:23" ht="14.25" hidden="1" x14ac:dyDescent="0.45">
      <c r="A307">
        <v>296</v>
      </c>
      <c r="B307" t="s">
        <v>732</v>
      </c>
      <c r="C307" t="s">
        <v>299</v>
      </c>
      <c r="D307" t="s">
        <v>726</v>
      </c>
      <c r="F307" s="2" t="s">
        <v>733</v>
      </c>
      <c r="I307" t="s">
        <v>494</v>
      </c>
      <c r="J307" s="2" t="s">
        <v>734</v>
      </c>
      <c r="K307" s="2">
        <v>1</v>
      </c>
      <c r="L307" s="2" t="s">
        <v>735</v>
      </c>
      <c r="M307" s="1">
        <v>27.89</v>
      </c>
      <c r="O307" t="str">
        <f>_xlfn.CONCAT("https://raw.githubusercontent.com/LaryBird12/geo-images/main/images/",Table_Master_Inventory[[#This Row],[Master Record ID]],".jpg")</f>
        <v>https://raw.githubusercontent.com/LaryBird12/geo-images/main/images/296.jpg</v>
      </c>
      <c r="P307" s="3"/>
      <c r="Q307" t="b">
        <v>1</v>
      </c>
      <c r="R307" t="b">
        <v>1</v>
      </c>
      <c r="S307" t="b">
        <v>0</v>
      </c>
      <c r="T307" t="b">
        <v>0</v>
      </c>
      <c r="U307" t="b">
        <v>1</v>
      </c>
      <c r="V307" t="b">
        <v>0</v>
      </c>
      <c r="W307" t="b">
        <v>0</v>
      </c>
    </row>
    <row r="308" spans="1:23" ht="14.25" hidden="1" x14ac:dyDescent="0.45">
      <c r="A308">
        <v>297</v>
      </c>
      <c r="B308" t="s">
        <v>736</v>
      </c>
      <c r="C308" t="s">
        <v>299</v>
      </c>
      <c r="D308" t="s">
        <v>726</v>
      </c>
      <c r="F308" s="2" t="s">
        <v>737</v>
      </c>
      <c r="I308" t="s">
        <v>494</v>
      </c>
      <c r="J308" s="2" t="s">
        <v>738</v>
      </c>
      <c r="K308" s="2">
        <v>1</v>
      </c>
      <c r="L308" s="2" t="s">
        <v>735</v>
      </c>
      <c r="M308" s="1">
        <v>22.95</v>
      </c>
      <c r="O308" t="str">
        <f>_xlfn.CONCAT("https://raw.githubusercontent.com/LaryBird12/geo-images/main/images/",Table_Master_Inventory[[#This Row],[Master Record ID]],".jpg")</f>
        <v>https://raw.githubusercontent.com/LaryBird12/geo-images/main/images/297.jpg</v>
      </c>
      <c r="P308" s="3"/>
      <c r="Q308" t="b">
        <v>1</v>
      </c>
      <c r="R308" t="b">
        <v>1</v>
      </c>
      <c r="S308" t="b">
        <v>0</v>
      </c>
      <c r="T308" t="b">
        <v>0</v>
      </c>
      <c r="U308" t="b">
        <v>1</v>
      </c>
      <c r="V308" t="b">
        <v>0</v>
      </c>
      <c r="W308" t="b">
        <v>0</v>
      </c>
    </row>
    <row r="309" spans="1:23" ht="14.25" hidden="1" x14ac:dyDescent="0.45">
      <c r="A309">
        <v>298</v>
      </c>
      <c r="B309" t="s">
        <v>739</v>
      </c>
      <c r="C309" t="s">
        <v>299</v>
      </c>
      <c r="D309" t="s">
        <v>726</v>
      </c>
      <c r="F309" s="2" t="s">
        <v>740</v>
      </c>
      <c r="I309" t="s">
        <v>494</v>
      </c>
      <c r="J309" s="2" t="s">
        <v>741</v>
      </c>
      <c r="K309" s="2">
        <v>1</v>
      </c>
      <c r="L309" s="2" t="s">
        <v>735</v>
      </c>
      <c r="M309" s="1">
        <v>33.729999999999997</v>
      </c>
      <c r="O309" t="str">
        <f>_xlfn.CONCAT("https://raw.githubusercontent.com/LaryBird12/geo-images/main/images/",Table_Master_Inventory[[#This Row],[Master Record ID]],".jpg")</f>
        <v>https://raw.githubusercontent.com/LaryBird12/geo-images/main/images/298.jpg</v>
      </c>
      <c r="P309" s="3"/>
      <c r="Q309" t="b">
        <v>1</v>
      </c>
      <c r="R309" t="b">
        <v>1</v>
      </c>
      <c r="S309" t="b">
        <v>0</v>
      </c>
      <c r="T309" t="b">
        <v>0</v>
      </c>
      <c r="U309" t="b">
        <v>1</v>
      </c>
      <c r="V309" t="b">
        <v>0</v>
      </c>
      <c r="W309" t="b">
        <v>0</v>
      </c>
    </row>
    <row r="310" spans="1:23" ht="14.25" hidden="1" x14ac:dyDescent="0.45">
      <c r="A310">
        <v>299</v>
      </c>
      <c r="B310" t="s">
        <v>742</v>
      </c>
      <c r="C310" t="s">
        <v>299</v>
      </c>
      <c r="D310" t="s">
        <v>726</v>
      </c>
      <c r="F310" s="2" t="s">
        <v>743</v>
      </c>
      <c r="I310" t="s">
        <v>40</v>
      </c>
      <c r="J310" s="2" t="s">
        <v>744</v>
      </c>
      <c r="K310" s="2">
        <v>5</v>
      </c>
      <c r="L310" s="2">
        <v>5</v>
      </c>
      <c r="M310" s="1">
        <v>125.09</v>
      </c>
      <c r="O310" t="str">
        <f>_xlfn.CONCAT("https://raw.githubusercontent.com/LaryBird12/geo-images/main/images/",Table_Master_Inventory[[#This Row],[Master Record ID]],".jpg")</f>
        <v>https://raw.githubusercontent.com/LaryBird12/geo-images/main/images/299.jpg</v>
      </c>
      <c r="P310" s="3"/>
      <c r="Q310" t="b">
        <v>1</v>
      </c>
      <c r="R310" t="b">
        <v>1</v>
      </c>
      <c r="S310" t="b">
        <v>0</v>
      </c>
      <c r="T310" t="b">
        <v>0</v>
      </c>
      <c r="U310" t="b">
        <v>1</v>
      </c>
      <c r="V310" t="b">
        <v>0</v>
      </c>
      <c r="W310" t="b">
        <v>0</v>
      </c>
    </row>
    <row r="311" spans="1:23" ht="14.25" hidden="1" x14ac:dyDescent="0.45">
      <c r="A311">
        <v>300</v>
      </c>
      <c r="B311" t="s">
        <v>745</v>
      </c>
      <c r="C311" t="s">
        <v>299</v>
      </c>
      <c r="D311" t="s">
        <v>726</v>
      </c>
      <c r="F311" s="2" t="s">
        <v>746</v>
      </c>
      <c r="I311" t="s">
        <v>494</v>
      </c>
      <c r="J311" s="2" t="s">
        <v>747</v>
      </c>
      <c r="K311" s="2">
        <v>2</v>
      </c>
      <c r="L311" s="2">
        <v>2</v>
      </c>
      <c r="M311" s="1">
        <v>103.04</v>
      </c>
      <c r="O311" t="str">
        <f>_xlfn.CONCAT("https://raw.githubusercontent.com/LaryBird12/geo-images/main/images/",Table_Master_Inventory[[#This Row],[Master Record ID]],".jpg")</f>
        <v>https://raw.githubusercontent.com/LaryBird12/geo-images/main/images/300.jpg</v>
      </c>
      <c r="P311" s="3"/>
      <c r="Q311" t="b">
        <v>1</v>
      </c>
      <c r="R311" t="b">
        <v>1</v>
      </c>
      <c r="S311" t="b">
        <v>0</v>
      </c>
      <c r="T311" t="b">
        <v>0</v>
      </c>
      <c r="U311" t="b">
        <v>1</v>
      </c>
      <c r="V311" t="b">
        <v>0</v>
      </c>
      <c r="W311" t="b">
        <v>0</v>
      </c>
    </row>
    <row r="312" spans="1:23" ht="14.25" hidden="1" x14ac:dyDescent="0.45">
      <c r="A312">
        <v>301</v>
      </c>
      <c r="B312" t="s">
        <v>748</v>
      </c>
      <c r="C312" t="s">
        <v>25</v>
      </c>
      <c r="D312" t="s">
        <v>86</v>
      </c>
      <c r="E312" t="s">
        <v>239</v>
      </c>
      <c r="F312" s="2" t="s">
        <v>749</v>
      </c>
      <c r="I312" t="s">
        <v>750</v>
      </c>
      <c r="J312" s="2">
        <v>2530001</v>
      </c>
      <c r="K312" s="2">
        <v>50</v>
      </c>
      <c r="L312" s="2">
        <v>10</v>
      </c>
      <c r="M312" s="1">
        <v>0.25</v>
      </c>
      <c r="O312" t="str">
        <f>_xlfn.CONCAT("https://raw.githubusercontent.com/LaryBird12/geo-images/main/images/",Table_Master_Inventory[[#This Row],[Master Record ID]],".jpg")</f>
        <v>https://raw.githubusercontent.com/LaryBird12/geo-images/main/images/301.jpg</v>
      </c>
      <c r="P312" s="3"/>
      <c r="Q312" t="b">
        <v>1</v>
      </c>
      <c r="R312" t="b">
        <v>1</v>
      </c>
      <c r="S312" t="b">
        <v>0</v>
      </c>
      <c r="T312" t="b">
        <v>0</v>
      </c>
      <c r="U312" t="b">
        <v>1</v>
      </c>
      <c r="V312" t="b">
        <v>0</v>
      </c>
      <c r="W312" t="b">
        <v>0</v>
      </c>
    </row>
    <row r="313" spans="1:23" ht="14.25" hidden="1" x14ac:dyDescent="0.45">
      <c r="A313">
        <v>302</v>
      </c>
      <c r="B313" t="s">
        <v>751</v>
      </c>
      <c r="C313" t="s">
        <v>25</v>
      </c>
      <c r="D313" t="s">
        <v>86</v>
      </c>
      <c r="E313" t="s">
        <v>239</v>
      </c>
      <c r="F313" s="2" t="s">
        <v>752</v>
      </c>
      <c r="I313" t="s">
        <v>750</v>
      </c>
      <c r="J313" s="2">
        <v>2530003</v>
      </c>
      <c r="K313" s="2">
        <v>50</v>
      </c>
      <c r="L313" s="2">
        <v>10</v>
      </c>
      <c r="M313" s="1">
        <v>0.32</v>
      </c>
      <c r="O313" t="str">
        <f>_xlfn.CONCAT("https://raw.githubusercontent.com/LaryBird12/geo-images/main/images/",Table_Master_Inventory[[#This Row],[Master Record ID]],".jpg")</f>
        <v>https://raw.githubusercontent.com/LaryBird12/geo-images/main/images/302.jpg</v>
      </c>
      <c r="P313" s="3"/>
      <c r="Q313" t="b">
        <v>1</v>
      </c>
      <c r="R313" t="b">
        <v>1</v>
      </c>
      <c r="S313" t="b">
        <v>0</v>
      </c>
      <c r="T313" t="b">
        <v>0</v>
      </c>
      <c r="U313" t="b">
        <v>1</v>
      </c>
      <c r="V313" t="b">
        <v>0</v>
      </c>
      <c r="W313" t="b">
        <v>0</v>
      </c>
    </row>
    <row r="314" spans="1:23" ht="14.25" hidden="1" x14ac:dyDescent="0.45">
      <c r="A314">
        <v>303</v>
      </c>
      <c r="B314" t="s">
        <v>753</v>
      </c>
      <c r="C314" t="s">
        <v>25</v>
      </c>
      <c r="D314" t="s">
        <v>86</v>
      </c>
      <c r="E314" t="s">
        <v>239</v>
      </c>
      <c r="F314" s="2" t="s">
        <v>754</v>
      </c>
      <c r="I314" t="s">
        <v>101</v>
      </c>
      <c r="J314" s="2">
        <v>2424</v>
      </c>
      <c r="K314" s="2">
        <v>6</v>
      </c>
      <c r="L314" s="2">
        <v>6</v>
      </c>
      <c r="M314" s="1">
        <v>25.22</v>
      </c>
      <c r="O314" t="str">
        <f>_xlfn.CONCAT("https://raw.githubusercontent.com/LaryBird12/geo-images/main/images/",Table_Master_Inventory[[#This Row],[Master Record ID]],".jpg")</f>
        <v>https://raw.githubusercontent.com/LaryBird12/geo-images/main/images/303.jpg</v>
      </c>
      <c r="P314" s="3"/>
      <c r="Q314" t="b">
        <v>1</v>
      </c>
      <c r="R314" t="b">
        <v>1</v>
      </c>
      <c r="S314" t="b">
        <v>0</v>
      </c>
      <c r="T314" t="b">
        <v>0</v>
      </c>
      <c r="U314" t="b">
        <v>1</v>
      </c>
      <c r="V314" t="b">
        <v>0</v>
      </c>
      <c r="W314" t="b">
        <v>0</v>
      </c>
    </row>
    <row r="315" spans="1:23" ht="14.25" hidden="1" x14ac:dyDescent="0.45">
      <c r="A315">
        <v>304</v>
      </c>
      <c r="B315" t="s">
        <v>755</v>
      </c>
      <c r="C315" t="s">
        <v>25</v>
      </c>
      <c r="D315" t="s">
        <v>86</v>
      </c>
      <c r="E315" t="s">
        <v>239</v>
      </c>
      <c r="F315" s="2" t="s">
        <v>756</v>
      </c>
      <c r="I315" t="s">
        <v>40</v>
      </c>
      <c r="J315" s="2" t="s">
        <v>757</v>
      </c>
      <c r="K315" s="2">
        <v>6</v>
      </c>
      <c r="L315" s="2">
        <v>6</v>
      </c>
      <c r="M315" s="1">
        <v>26.79</v>
      </c>
      <c r="O315" t="str">
        <f>_xlfn.CONCAT("https://raw.githubusercontent.com/LaryBird12/geo-images/main/images/",Table_Master_Inventory[[#This Row],[Master Record ID]],".jpg")</f>
        <v>https://raw.githubusercontent.com/LaryBird12/geo-images/main/images/304.jpg</v>
      </c>
      <c r="P315" s="3"/>
      <c r="Q315" t="b">
        <v>1</v>
      </c>
      <c r="R315" t="b">
        <v>1</v>
      </c>
      <c r="S315" t="b">
        <v>0</v>
      </c>
      <c r="T315" t="b">
        <v>0</v>
      </c>
      <c r="U315" t="b">
        <v>1</v>
      </c>
      <c r="V315" t="b">
        <v>0</v>
      </c>
      <c r="W315" t="b">
        <v>0</v>
      </c>
    </row>
    <row r="316" spans="1:23" ht="14.25" hidden="1" x14ac:dyDescent="0.45">
      <c r="A316">
        <v>305</v>
      </c>
      <c r="B316" t="s">
        <v>758</v>
      </c>
      <c r="C316" t="s">
        <v>299</v>
      </c>
      <c r="D316" t="s">
        <v>641</v>
      </c>
      <c r="F316" s="2" t="s">
        <v>759</v>
      </c>
      <c r="I316" t="s">
        <v>29</v>
      </c>
      <c r="J316" s="2" t="s">
        <v>760</v>
      </c>
      <c r="K316" s="2">
        <v>12</v>
      </c>
      <c r="L316" s="2">
        <v>6</v>
      </c>
      <c r="M316" s="1">
        <v>4</v>
      </c>
      <c r="O316" t="str">
        <f>_xlfn.CONCAT("https://raw.githubusercontent.com/LaryBird12/geo-images/main/images/",Table_Master_Inventory[[#This Row],[Master Record ID]],".jpg")</f>
        <v>https://raw.githubusercontent.com/LaryBird12/geo-images/main/images/305.jpg</v>
      </c>
      <c r="P316" s="3"/>
      <c r="Q316" t="b">
        <v>1</v>
      </c>
      <c r="R316" t="b">
        <v>1</v>
      </c>
      <c r="S316" t="b">
        <v>0</v>
      </c>
      <c r="T316" t="b">
        <v>0</v>
      </c>
      <c r="U316" t="b">
        <v>1</v>
      </c>
      <c r="V316" t="b">
        <v>0</v>
      </c>
      <c r="W316" t="b">
        <v>0</v>
      </c>
    </row>
    <row r="317" spans="1:23" ht="14.25" hidden="1" x14ac:dyDescent="0.45">
      <c r="A317">
        <v>306</v>
      </c>
      <c r="B317" t="s">
        <v>761</v>
      </c>
      <c r="C317" t="s">
        <v>299</v>
      </c>
      <c r="D317" t="s">
        <v>641</v>
      </c>
      <c r="F317" s="2" t="s">
        <v>762</v>
      </c>
      <c r="I317" t="s">
        <v>29</v>
      </c>
      <c r="J317" s="2" t="s">
        <v>763</v>
      </c>
      <c r="K317" s="2">
        <v>12</v>
      </c>
      <c r="L317" s="2">
        <v>6</v>
      </c>
      <c r="M317" s="1">
        <v>10</v>
      </c>
      <c r="O317" t="str">
        <f>_xlfn.CONCAT("https://raw.githubusercontent.com/LaryBird12/geo-images/main/images/",Table_Master_Inventory[[#This Row],[Master Record ID]],".jpg")</f>
        <v>https://raw.githubusercontent.com/LaryBird12/geo-images/main/images/306.jpg</v>
      </c>
      <c r="P317" s="3"/>
      <c r="Q317" t="b">
        <v>1</v>
      </c>
      <c r="R317" t="b">
        <v>1</v>
      </c>
      <c r="S317" t="b">
        <v>0</v>
      </c>
      <c r="T317" t="b">
        <v>0</v>
      </c>
      <c r="U317" t="b">
        <v>1</v>
      </c>
      <c r="V317" t="b">
        <v>0</v>
      </c>
      <c r="W317" t="b">
        <v>0</v>
      </c>
    </row>
    <row r="318" spans="1:23" ht="14.25" hidden="1" x14ac:dyDescent="0.45">
      <c r="A318">
        <v>307</v>
      </c>
      <c r="B318" t="s">
        <v>764</v>
      </c>
      <c r="C318" t="s">
        <v>25</v>
      </c>
      <c r="D318" t="s">
        <v>304</v>
      </c>
      <c r="E318" t="s">
        <v>765</v>
      </c>
      <c r="F318" s="2" t="s">
        <v>272</v>
      </c>
      <c r="I318" t="s">
        <v>101</v>
      </c>
      <c r="J318" s="2" t="s">
        <v>766</v>
      </c>
      <c r="K318" s="2">
        <v>12</v>
      </c>
      <c r="L318" s="2"/>
      <c r="M318" s="1">
        <v>3.51</v>
      </c>
      <c r="O318" t="str">
        <f>_xlfn.CONCAT("https://raw.githubusercontent.com/LaryBird12/geo-images/main/images/",Table_Master_Inventory[[#This Row],[Master Record ID]],".jpg")</f>
        <v>https://raw.githubusercontent.com/LaryBird12/geo-images/main/images/307.jpg</v>
      </c>
      <c r="P318" s="3"/>
      <c r="Q318" t="b">
        <v>1</v>
      </c>
      <c r="R318" t="b">
        <v>0</v>
      </c>
      <c r="S318" t="b">
        <v>0</v>
      </c>
      <c r="T318" t="b">
        <v>1</v>
      </c>
      <c r="U318" t="b">
        <v>1</v>
      </c>
      <c r="V318" t="b">
        <v>0</v>
      </c>
      <c r="W318" t="b">
        <v>0</v>
      </c>
    </row>
    <row r="319" spans="1:23" ht="14.25" hidden="1" x14ac:dyDescent="0.45">
      <c r="A319">
        <v>308</v>
      </c>
      <c r="B319" t="s">
        <v>767</v>
      </c>
      <c r="C319" t="s">
        <v>25</v>
      </c>
      <c r="D319" t="s">
        <v>304</v>
      </c>
      <c r="E319" t="s">
        <v>765</v>
      </c>
      <c r="F319" s="2" t="s">
        <v>768</v>
      </c>
      <c r="I319" t="s">
        <v>101</v>
      </c>
      <c r="J319" s="2" t="s">
        <v>769</v>
      </c>
      <c r="K319" s="2">
        <v>12</v>
      </c>
      <c r="L319" s="2"/>
      <c r="M319" s="1">
        <v>4.6500000000000004</v>
      </c>
      <c r="O319" t="str">
        <f>_xlfn.CONCAT("https://raw.githubusercontent.com/LaryBird12/geo-images/main/images/",Table_Master_Inventory[[#This Row],[Master Record ID]],".jpg")</f>
        <v>https://raw.githubusercontent.com/LaryBird12/geo-images/main/images/308.jpg</v>
      </c>
      <c r="P319" s="3"/>
      <c r="Q319" t="b">
        <v>1</v>
      </c>
      <c r="R319" t="b">
        <v>0</v>
      </c>
      <c r="S319" t="b">
        <v>0</v>
      </c>
      <c r="T319" t="b">
        <v>1</v>
      </c>
      <c r="U319" t="b">
        <v>1</v>
      </c>
      <c r="V319" t="b">
        <v>0</v>
      </c>
      <c r="W319" t="b">
        <v>0</v>
      </c>
    </row>
    <row r="320" spans="1:23" ht="14.25" hidden="1" x14ac:dyDescent="0.45">
      <c r="A320">
        <v>309</v>
      </c>
      <c r="B320" t="s">
        <v>770</v>
      </c>
      <c r="C320" t="s">
        <v>25</v>
      </c>
      <c r="D320" t="s">
        <v>304</v>
      </c>
      <c r="E320" t="s">
        <v>765</v>
      </c>
      <c r="F320" s="2" t="s">
        <v>629</v>
      </c>
      <c r="I320" t="s">
        <v>101</v>
      </c>
      <c r="J320" s="2" t="s">
        <v>771</v>
      </c>
      <c r="K320" s="2">
        <v>12</v>
      </c>
      <c r="L320" s="2"/>
      <c r="M320" s="1">
        <v>5.25</v>
      </c>
      <c r="O320" t="str">
        <f>_xlfn.CONCAT("https://raw.githubusercontent.com/LaryBird12/geo-images/main/images/",Table_Master_Inventory[[#This Row],[Master Record ID]],".jpg")</f>
        <v>https://raw.githubusercontent.com/LaryBird12/geo-images/main/images/309.jpg</v>
      </c>
      <c r="P320" s="3"/>
      <c r="Q320" t="b">
        <v>1</v>
      </c>
      <c r="R320" t="b">
        <v>0</v>
      </c>
      <c r="S320" t="b">
        <v>0</v>
      </c>
      <c r="T320" t="b">
        <v>1</v>
      </c>
      <c r="U320" t="b">
        <v>1</v>
      </c>
      <c r="V320" t="b">
        <v>0</v>
      </c>
      <c r="W320" t="b">
        <v>0</v>
      </c>
    </row>
    <row r="321" spans="1:23" ht="14.25" hidden="1" x14ac:dyDescent="0.45">
      <c r="A321">
        <v>310</v>
      </c>
      <c r="B321" t="s">
        <v>772</v>
      </c>
      <c r="C321" t="s">
        <v>25</v>
      </c>
      <c r="D321" t="s">
        <v>86</v>
      </c>
      <c r="E321" t="s">
        <v>773</v>
      </c>
      <c r="F321" s="2" t="s">
        <v>774</v>
      </c>
      <c r="I321" t="s">
        <v>101</v>
      </c>
      <c r="J321" s="2">
        <v>7911</v>
      </c>
      <c r="K321" s="2" t="s">
        <v>775</v>
      </c>
      <c r="L321" s="2"/>
      <c r="M321" s="1">
        <v>1.03</v>
      </c>
      <c r="O321" t="str">
        <f>_xlfn.CONCAT("https://raw.githubusercontent.com/LaryBird12/geo-images/main/images/",Table_Master_Inventory[[#This Row],[Master Record ID]],".jpg")</f>
        <v>https://raw.githubusercontent.com/LaryBird12/geo-images/main/images/310.jpg</v>
      </c>
      <c r="P321" s="3"/>
      <c r="Q321" t="b">
        <v>1</v>
      </c>
      <c r="R321" t="b">
        <v>0</v>
      </c>
      <c r="S321" t="b">
        <v>0</v>
      </c>
      <c r="T321" t="b">
        <v>1</v>
      </c>
      <c r="U321" t="b">
        <v>1</v>
      </c>
      <c r="V321" t="b">
        <v>0</v>
      </c>
      <c r="W321" t="b">
        <v>0</v>
      </c>
    </row>
    <row r="322" spans="1:23" ht="14.25" hidden="1" x14ac:dyDescent="0.45">
      <c r="A322">
        <v>311</v>
      </c>
      <c r="B322" t="s">
        <v>776</v>
      </c>
      <c r="C322" t="s">
        <v>25</v>
      </c>
      <c r="D322" t="s">
        <v>304</v>
      </c>
      <c r="E322" t="s">
        <v>777</v>
      </c>
      <c r="F322" s="2" t="s">
        <v>778</v>
      </c>
      <c r="I322" t="s">
        <v>312</v>
      </c>
      <c r="J322" s="2" t="s">
        <v>306</v>
      </c>
      <c r="K322" s="2" t="s">
        <v>779</v>
      </c>
      <c r="L322" s="2"/>
      <c r="M322" s="1"/>
      <c r="O322" t="str">
        <f>_xlfn.CONCAT("https://raw.githubusercontent.com/LaryBird12/geo-images/main/images/",Table_Master_Inventory[[#This Row],[Master Record ID]],".jpg")</f>
        <v>https://raw.githubusercontent.com/LaryBird12/geo-images/main/images/311.jpg</v>
      </c>
      <c r="P322" s="3"/>
      <c r="Q322" t="b">
        <v>1</v>
      </c>
      <c r="R322" t="b">
        <v>0</v>
      </c>
      <c r="S322" t="b">
        <v>0</v>
      </c>
      <c r="T322" t="b">
        <v>1</v>
      </c>
      <c r="U322" t="b">
        <v>1</v>
      </c>
      <c r="V322" t="b">
        <v>0</v>
      </c>
      <c r="W322" t="b">
        <v>0</v>
      </c>
    </row>
    <row r="323" spans="1:23" ht="14.25" hidden="1" x14ac:dyDescent="0.45">
      <c r="A323">
        <v>312</v>
      </c>
      <c r="B323" t="s">
        <v>780</v>
      </c>
      <c r="C323" t="s">
        <v>25</v>
      </c>
      <c r="D323" t="s">
        <v>304</v>
      </c>
      <c r="E323" t="s">
        <v>777</v>
      </c>
      <c r="F323" s="2" t="s">
        <v>306</v>
      </c>
      <c r="I323" t="s">
        <v>101</v>
      </c>
      <c r="J323" s="2" t="s">
        <v>781</v>
      </c>
      <c r="K323" s="2" t="s">
        <v>782</v>
      </c>
      <c r="L323" s="2"/>
      <c r="M323" s="1">
        <v>52.11</v>
      </c>
      <c r="O323" t="str">
        <f>_xlfn.CONCAT("https://raw.githubusercontent.com/LaryBird12/geo-images/main/images/",Table_Master_Inventory[[#This Row],[Master Record ID]],".jpg")</f>
        <v>https://raw.githubusercontent.com/LaryBird12/geo-images/main/images/312.jpg</v>
      </c>
      <c r="P323" s="3"/>
      <c r="Q323" t="b">
        <v>1</v>
      </c>
      <c r="R323" t="b">
        <v>0</v>
      </c>
      <c r="S323" t="b">
        <v>0</v>
      </c>
      <c r="T323" t="b">
        <v>1</v>
      </c>
      <c r="U323" t="b">
        <v>1</v>
      </c>
      <c r="V323" t="b">
        <v>0</v>
      </c>
      <c r="W323" t="b">
        <v>0</v>
      </c>
    </row>
    <row r="324" spans="1:23" ht="14.25" hidden="1" x14ac:dyDescent="0.45">
      <c r="A324">
        <v>313</v>
      </c>
      <c r="B324" t="s">
        <v>783</v>
      </c>
      <c r="C324" t="s">
        <v>25</v>
      </c>
      <c r="D324" t="s">
        <v>86</v>
      </c>
      <c r="E324" t="s">
        <v>87</v>
      </c>
      <c r="F324" s="2" t="s">
        <v>784</v>
      </c>
      <c r="I324" t="s">
        <v>29</v>
      </c>
      <c r="J324" s="2">
        <v>944327</v>
      </c>
      <c r="K324" s="2">
        <v>3</v>
      </c>
      <c r="L324" s="2"/>
      <c r="M324" s="1"/>
      <c r="O324" t="str">
        <f>_xlfn.CONCAT("https://raw.githubusercontent.com/LaryBird12/geo-images/main/images/",Table_Master_Inventory[[#This Row],[Master Record ID]],".jpg")</f>
        <v>https://raw.githubusercontent.com/LaryBird12/geo-images/main/images/313.jpg</v>
      </c>
      <c r="P324" s="3"/>
      <c r="Q324" t="b">
        <v>1</v>
      </c>
      <c r="R324" t="b">
        <v>0</v>
      </c>
      <c r="S324" t="b">
        <v>0</v>
      </c>
      <c r="T324" t="b">
        <v>1</v>
      </c>
      <c r="U324" t="b">
        <v>1</v>
      </c>
      <c r="V324" t="b">
        <v>0</v>
      </c>
      <c r="W324" t="b">
        <v>0</v>
      </c>
    </row>
    <row r="325" spans="1:23" ht="14.25" hidden="1" x14ac:dyDescent="0.45">
      <c r="A325">
        <v>314</v>
      </c>
      <c r="B325" t="s">
        <v>785</v>
      </c>
      <c r="C325" t="s">
        <v>25</v>
      </c>
      <c r="D325" t="s">
        <v>86</v>
      </c>
      <c r="E325" t="s">
        <v>87</v>
      </c>
      <c r="F325" s="2" t="s">
        <v>786</v>
      </c>
      <c r="I325" t="s">
        <v>29</v>
      </c>
      <c r="J325" s="2">
        <v>462810</v>
      </c>
      <c r="K325" s="2">
        <v>6</v>
      </c>
      <c r="L325" s="2"/>
      <c r="M325" s="1"/>
      <c r="O325" t="str">
        <f>_xlfn.CONCAT("https://raw.githubusercontent.com/LaryBird12/geo-images/main/images/",Table_Master_Inventory[[#This Row],[Master Record ID]],".jpg")</f>
        <v>https://raw.githubusercontent.com/LaryBird12/geo-images/main/images/314.jpg</v>
      </c>
      <c r="P325" s="3"/>
      <c r="Q325" t="b">
        <v>1</v>
      </c>
      <c r="R325" t="b">
        <v>0</v>
      </c>
      <c r="S325" t="b">
        <v>0</v>
      </c>
      <c r="T325" t="b">
        <v>1</v>
      </c>
      <c r="U325" t="b">
        <v>1</v>
      </c>
      <c r="V325" t="b">
        <v>0</v>
      </c>
      <c r="W325" t="b">
        <v>0</v>
      </c>
    </row>
    <row r="326" spans="1:23" ht="14.25" hidden="1" x14ac:dyDescent="0.45">
      <c r="A326">
        <v>315</v>
      </c>
      <c r="B326" t="s">
        <v>787</v>
      </c>
      <c r="C326" t="s">
        <v>25</v>
      </c>
      <c r="D326" t="s">
        <v>304</v>
      </c>
      <c r="E326" t="s">
        <v>777</v>
      </c>
      <c r="F326" s="2" t="s">
        <v>306</v>
      </c>
      <c r="I326" t="s">
        <v>312</v>
      </c>
      <c r="J326" s="2" t="s">
        <v>306</v>
      </c>
      <c r="K326" s="2">
        <v>10</v>
      </c>
      <c r="L326" s="2"/>
      <c r="M326" s="1"/>
      <c r="O326" t="str">
        <f>_xlfn.CONCAT("https://raw.githubusercontent.com/LaryBird12/geo-images/main/images/",Table_Master_Inventory[[#This Row],[Master Record ID]],".jpg")</f>
        <v>https://raw.githubusercontent.com/LaryBird12/geo-images/main/images/315.jpg</v>
      </c>
      <c r="P326" s="3"/>
      <c r="Q326" t="b">
        <v>1</v>
      </c>
      <c r="R326" t="b">
        <v>0</v>
      </c>
      <c r="S326" t="b">
        <v>0</v>
      </c>
      <c r="T326" t="b">
        <v>1</v>
      </c>
      <c r="U326" t="b">
        <v>1</v>
      </c>
      <c r="V326" t="b">
        <v>0</v>
      </c>
      <c r="W326" t="b">
        <v>0</v>
      </c>
    </row>
    <row r="327" spans="1:23" ht="14.25" hidden="1" x14ac:dyDescent="0.45">
      <c r="A327">
        <v>316</v>
      </c>
      <c r="B327" t="s">
        <v>788</v>
      </c>
      <c r="C327" t="s">
        <v>25</v>
      </c>
      <c r="D327" t="s">
        <v>304</v>
      </c>
      <c r="E327" t="s">
        <v>569</v>
      </c>
      <c r="F327" s="2" t="s">
        <v>272</v>
      </c>
      <c r="I327" t="s">
        <v>101</v>
      </c>
      <c r="J327" s="2" t="s">
        <v>789</v>
      </c>
      <c r="K327" s="2">
        <v>20</v>
      </c>
      <c r="L327" s="2"/>
      <c r="M327" s="1">
        <v>9.1999999999999993</v>
      </c>
      <c r="O327" t="str">
        <f>_xlfn.CONCAT("https://raw.githubusercontent.com/LaryBird12/geo-images/main/images/",Table_Master_Inventory[[#This Row],[Master Record ID]],".jpg")</f>
        <v>https://raw.githubusercontent.com/LaryBird12/geo-images/main/images/316.jpg</v>
      </c>
      <c r="P327" s="3"/>
      <c r="Q327" t="b">
        <v>1</v>
      </c>
      <c r="R327" t="b">
        <v>0</v>
      </c>
      <c r="S327" t="b">
        <v>0</v>
      </c>
      <c r="T327" t="b">
        <v>1</v>
      </c>
      <c r="U327" t="b">
        <v>1</v>
      </c>
      <c r="V327" t="b">
        <v>0</v>
      </c>
      <c r="W327" t="b">
        <v>0</v>
      </c>
    </row>
    <row r="328" spans="1:23" ht="14.25" hidden="1" x14ac:dyDescent="0.45">
      <c r="A328">
        <v>317</v>
      </c>
      <c r="B328" t="s">
        <v>790</v>
      </c>
      <c r="C328" t="s">
        <v>25</v>
      </c>
      <c r="D328" t="s">
        <v>304</v>
      </c>
      <c r="E328" t="s">
        <v>569</v>
      </c>
      <c r="F328" s="2" t="s">
        <v>768</v>
      </c>
      <c r="I328" t="s">
        <v>101</v>
      </c>
      <c r="J328" s="2" t="s">
        <v>791</v>
      </c>
      <c r="K328" s="2">
        <v>20</v>
      </c>
      <c r="L328" s="2"/>
      <c r="M328" s="1">
        <v>13.91</v>
      </c>
      <c r="O328" t="str">
        <f>_xlfn.CONCAT("https://raw.githubusercontent.com/LaryBird12/geo-images/main/images/",Table_Master_Inventory[[#This Row],[Master Record ID]],".jpg")</f>
        <v>https://raw.githubusercontent.com/LaryBird12/geo-images/main/images/317.jpg</v>
      </c>
      <c r="P328" s="3"/>
      <c r="Q328" t="b">
        <v>1</v>
      </c>
      <c r="R328" t="b">
        <v>0</v>
      </c>
      <c r="S328" t="b">
        <v>0</v>
      </c>
      <c r="T328" t="b">
        <v>1</v>
      </c>
      <c r="U328" t="b">
        <v>1</v>
      </c>
      <c r="V328" t="b">
        <v>0</v>
      </c>
      <c r="W328" t="b">
        <v>0</v>
      </c>
    </row>
    <row r="329" spans="1:23" ht="14.25" hidden="1" x14ac:dyDescent="0.45">
      <c r="A329">
        <v>318</v>
      </c>
      <c r="B329" t="s">
        <v>792</v>
      </c>
      <c r="C329" t="s">
        <v>25</v>
      </c>
      <c r="D329" t="s">
        <v>304</v>
      </c>
      <c r="E329" t="s">
        <v>569</v>
      </c>
      <c r="F329" s="2" t="s">
        <v>629</v>
      </c>
      <c r="I329" t="s">
        <v>101</v>
      </c>
      <c r="J329" s="2" t="s">
        <v>793</v>
      </c>
      <c r="K329" s="2">
        <v>10</v>
      </c>
      <c r="L329" s="2"/>
      <c r="M329" s="1">
        <v>15.63</v>
      </c>
      <c r="O329" t="str">
        <f>_xlfn.CONCAT("https://raw.githubusercontent.com/LaryBird12/geo-images/main/images/",Table_Master_Inventory[[#This Row],[Master Record ID]],".jpg")</f>
        <v>https://raw.githubusercontent.com/LaryBird12/geo-images/main/images/318.jpg</v>
      </c>
      <c r="P329" s="3"/>
      <c r="Q329" t="b">
        <v>1</v>
      </c>
      <c r="R329" t="b">
        <v>0</v>
      </c>
      <c r="S329" t="b">
        <v>0</v>
      </c>
      <c r="T329" t="b">
        <v>1</v>
      </c>
      <c r="U329" t="b">
        <v>1</v>
      </c>
      <c r="V329" t="b">
        <v>0</v>
      </c>
      <c r="W329" t="b">
        <v>0</v>
      </c>
    </row>
    <row r="330" spans="1:23" ht="14.25" hidden="1" x14ac:dyDescent="0.45">
      <c r="A330">
        <v>319</v>
      </c>
      <c r="B330" t="s">
        <v>794</v>
      </c>
      <c r="C330" t="s">
        <v>25</v>
      </c>
      <c r="D330" t="s">
        <v>304</v>
      </c>
      <c r="E330" t="s">
        <v>765</v>
      </c>
      <c r="F330" s="2" t="s">
        <v>795</v>
      </c>
      <c r="I330" t="s">
        <v>101</v>
      </c>
      <c r="J330" s="2" t="s">
        <v>796</v>
      </c>
      <c r="K330" s="2">
        <v>2</v>
      </c>
      <c r="L330" s="2"/>
      <c r="M330" s="1">
        <v>6.52</v>
      </c>
      <c r="O330" t="str">
        <f>_xlfn.CONCAT("https://raw.githubusercontent.com/LaryBird12/geo-images/main/images/",Table_Master_Inventory[[#This Row],[Master Record ID]],".jpg")</f>
        <v>https://raw.githubusercontent.com/LaryBird12/geo-images/main/images/319.jpg</v>
      </c>
      <c r="P330" s="3"/>
      <c r="Q330" t="b">
        <v>1</v>
      </c>
      <c r="R330" t="b">
        <v>0</v>
      </c>
      <c r="S330" t="b">
        <v>0</v>
      </c>
      <c r="T330" t="b">
        <v>1</v>
      </c>
      <c r="U330" t="b">
        <v>1</v>
      </c>
      <c r="V330" t="b">
        <v>0</v>
      </c>
      <c r="W330" t="b">
        <v>0</v>
      </c>
    </row>
    <row r="331" spans="1:23" ht="14.25" hidden="1" x14ac:dyDescent="0.45">
      <c r="A331">
        <v>320</v>
      </c>
      <c r="B331" t="s">
        <v>797</v>
      </c>
      <c r="C331" t="s">
        <v>25</v>
      </c>
      <c r="D331" t="s">
        <v>304</v>
      </c>
      <c r="E331" t="s">
        <v>765</v>
      </c>
      <c r="F331" s="2" t="s">
        <v>272</v>
      </c>
      <c r="I331" t="s">
        <v>101</v>
      </c>
      <c r="J331" s="2" t="s">
        <v>798</v>
      </c>
      <c r="K331" s="2">
        <v>2</v>
      </c>
      <c r="L331" s="2"/>
      <c r="M331" s="1">
        <v>6.52</v>
      </c>
      <c r="O331" t="str">
        <f>_xlfn.CONCAT("https://raw.githubusercontent.com/LaryBird12/geo-images/main/images/",Table_Master_Inventory[[#This Row],[Master Record ID]],".jpg")</f>
        <v>https://raw.githubusercontent.com/LaryBird12/geo-images/main/images/320.jpg</v>
      </c>
      <c r="P331" s="3"/>
      <c r="Q331" t="b">
        <v>1</v>
      </c>
      <c r="R331" t="b">
        <v>0</v>
      </c>
      <c r="S331" t="b">
        <v>0</v>
      </c>
      <c r="T331" t="b">
        <v>1</v>
      </c>
      <c r="U331" t="b">
        <v>1</v>
      </c>
      <c r="V331" t="b">
        <v>0</v>
      </c>
      <c r="W331" t="b">
        <v>0</v>
      </c>
    </row>
    <row r="332" spans="1:23" ht="14.25" hidden="1" x14ac:dyDescent="0.45">
      <c r="A332">
        <v>321</v>
      </c>
      <c r="B332" t="s">
        <v>799</v>
      </c>
      <c r="C332" t="s">
        <v>25</v>
      </c>
      <c r="D332" t="s">
        <v>304</v>
      </c>
      <c r="E332" t="s">
        <v>765</v>
      </c>
      <c r="F332" s="2" t="s">
        <v>768</v>
      </c>
      <c r="I332" t="s">
        <v>101</v>
      </c>
      <c r="J332" s="2" t="s">
        <v>800</v>
      </c>
      <c r="K332" s="2">
        <v>2</v>
      </c>
      <c r="L332" s="2"/>
      <c r="M332" s="1">
        <v>7.52</v>
      </c>
      <c r="O332" t="str">
        <f>_xlfn.CONCAT("https://raw.githubusercontent.com/LaryBird12/geo-images/main/images/",Table_Master_Inventory[[#This Row],[Master Record ID]],".jpg")</f>
        <v>https://raw.githubusercontent.com/LaryBird12/geo-images/main/images/321.jpg</v>
      </c>
      <c r="P332" s="3"/>
      <c r="Q332" t="b">
        <v>1</v>
      </c>
      <c r="R332" t="b">
        <v>0</v>
      </c>
      <c r="S332" t="b">
        <v>0</v>
      </c>
      <c r="T332" t="b">
        <v>1</v>
      </c>
      <c r="U332" t="b">
        <v>1</v>
      </c>
      <c r="V332" t="b">
        <v>0</v>
      </c>
      <c r="W332" t="b">
        <v>0</v>
      </c>
    </row>
    <row r="333" spans="1:23" ht="14.25" hidden="1" x14ac:dyDescent="0.45">
      <c r="A333">
        <v>322</v>
      </c>
      <c r="B333" t="s">
        <v>801</v>
      </c>
      <c r="C333" t="s">
        <v>25</v>
      </c>
      <c r="D333" t="s">
        <v>304</v>
      </c>
      <c r="E333" t="s">
        <v>765</v>
      </c>
      <c r="F333" s="2" t="s">
        <v>629</v>
      </c>
      <c r="I333" t="s">
        <v>101</v>
      </c>
      <c r="J333" s="2" t="s">
        <v>802</v>
      </c>
      <c r="K333" s="2">
        <v>2</v>
      </c>
      <c r="L333" s="2"/>
      <c r="M333" s="1">
        <v>8.27</v>
      </c>
      <c r="O333" t="str">
        <f>_xlfn.CONCAT("https://raw.githubusercontent.com/LaryBird12/geo-images/main/images/",Table_Master_Inventory[[#This Row],[Master Record ID]],".jpg")</f>
        <v>https://raw.githubusercontent.com/LaryBird12/geo-images/main/images/322.jpg</v>
      </c>
      <c r="P333" s="3"/>
      <c r="Q333" t="b">
        <v>1</v>
      </c>
      <c r="R333" t="b">
        <v>0</v>
      </c>
      <c r="S333" t="b">
        <v>0</v>
      </c>
      <c r="T333" t="b">
        <v>1</v>
      </c>
      <c r="U333" t="b">
        <v>1</v>
      </c>
      <c r="V333" t="b">
        <v>0</v>
      </c>
      <c r="W333" t="b">
        <v>0</v>
      </c>
    </row>
    <row r="334" spans="1:23" ht="14.25" hidden="1" x14ac:dyDescent="0.45">
      <c r="A334">
        <v>323</v>
      </c>
      <c r="B334" t="s">
        <v>803</v>
      </c>
      <c r="C334" t="s">
        <v>25</v>
      </c>
      <c r="D334" t="s">
        <v>304</v>
      </c>
      <c r="E334" t="s">
        <v>804</v>
      </c>
      <c r="F334" s="2" t="s">
        <v>805</v>
      </c>
      <c r="I334" t="s">
        <v>806</v>
      </c>
      <c r="J334" s="2" t="s">
        <v>807</v>
      </c>
      <c r="K334" s="2" t="s">
        <v>808</v>
      </c>
      <c r="L334" s="2"/>
      <c r="M334" s="1">
        <v>15.79</v>
      </c>
      <c r="O334" t="str">
        <f>_xlfn.CONCAT("https://raw.githubusercontent.com/LaryBird12/geo-images/main/images/",Table_Master_Inventory[[#This Row],[Master Record ID]],".jpg")</f>
        <v>https://raw.githubusercontent.com/LaryBird12/geo-images/main/images/323.jpg</v>
      </c>
      <c r="P334" s="3"/>
      <c r="Q334" t="b">
        <v>1</v>
      </c>
      <c r="R334" t="b">
        <v>0</v>
      </c>
      <c r="S334" t="b">
        <v>0</v>
      </c>
      <c r="T334" t="b">
        <v>1</v>
      </c>
      <c r="U334" t="b">
        <v>1</v>
      </c>
      <c r="V334" t="b">
        <v>0</v>
      </c>
      <c r="W334" t="b">
        <v>0</v>
      </c>
    </row>
    <row r="335" spans="1:23" ht="14.25" hidden="1" x14ac:dyDescent="0.45">
      <c r="A335">
        <v>324</v>
      </c>
      <c r="B335" t="s">
        <v>809</v>
      </c>
      <c r="C335" t="s">
        <v>25</v>
      </c>
      <c r="D335" t="s">
        <v>304</v>
      </c>
      <c r="E335" t="s">
        <v>810</v>
      </c>
      <c r="F335" s="2" t="s">
        <v>811</v>
      </c>
      <c r="I335" t="s">
        <v>101</v>
      </c>
      <c r="J335" s="2" t="s">
        <v>812</v>
      </c>
      <c r="K335" s="2" t="s">
        <v>813</v>
      </c>
      <c r="L335" s="2"/>
      <c r="M335" s="1" t="s">
        <v>814</v>
      </c>
      <c r="O335" t="str">
        <f>_xlfn.CONCAT("https://raw.githubusercontent.com/LaryBird12/geo-images/main/images/",Table_Master_Inventory[[#This Row],[Master Record ID]],".jpg")</f>
        <v>https://raw.githubusercontent.com/LaryBird12/geo-images/main/images/324.jpg</v>
      </c>
      <c r="P335" s="3"/>
      <c r="Q335" t="b">
        <v>1</v>
      </c>
      <c r="R335" t="b">
        <v>0</v>
      </c>
      <c r="S335" t="b">
        <v>1</v>
      </c>
      <c r="T335" t="b">
        <v>1</v>
      </c>
      <c r="U335" t="b">
        <v>1</v>
      </c>
      <c r="V335" t="b">
        <v>0</v>
      </c>
      <c r="W335" t="b">
        <v>0</v>
      </c>
    </row>
    <row r="336" spans="1:23" ht="14.25" hidden="1" x14ac:dyDescent="0.45">
      <c r="A336">
        <v>325</v>
      </c>
      <c r="B336" t="s">
        <v>815</v>
      </c>
      <c r="C336" t="s">
        <v>25</v>
      </c>
      <c r="D336" t="s">
        <v>304</v>
      </c>
      <c r="E336" t="s">
        <v>810</v>
      </c>
      <c r="F336" s="2" t="s">
        <v>816</v>
      </c>
      <c r="I336" t="s">
        <v>312</v>
      </c>
      <c r="J336" s="2" t="s">
        <v>306</v>
      </c>
      <c r="K336" s="2">
        <v>6</v>
      </c>
      <c r="L336" s="2"/>
      <c r="M336" s="1"/>
      <c r="O336" t="str">
        <f>_xlfn.CONCAT("https://raw.githubusercontent.com/LaryBird12/geo-images/main/images/",Table_Master_Inventory[[#This Row],[Master Record ID]],".jpg")</f>
        <v>https://raw.githubusercontent.com/LaryBird12/geo-images/main/images/325.jpg</v>
      </c>
      <c r="P336" s="3"/>
      <c r="Q336" t="b">
        <v>1</v>
      </c>
      <c r="R336" t="b">
        <v>0</v>
      </c>
      <c r="S336" t="b">
        <v>1</v>
      </c>
      <c r="T336" t="b">
        <v>1</v>
      </c>
      <c r="U336" t="b">
        <v>1</v>
      </c>
      <c r="V336" t="b">
        <v>0</v>
      </c>
      <c r="W336" t="b">
        <v>0</v>
      </c>
    </row>
    <row r="337" spans="1:23" ht="14.25" hidden="1" x14ac:dyDescent="0.45">
      <c r="A337">
        <v>326</v>
      </c>
      <c r="B337" t="s">
        <v>817</v>
      </c>
      <c r="C337" t="s">
        <v>25</v>
      </c>
      <c r="D337" t="s">
        <v>304</v>
      </c>
      <c r="E337" t="s">
        <v>810</v>
      </c>
      <c r="F337" s="2" t="s">
        <v>818</v>
      </c>
      <c r="I337" t="s">
        <v>312</v>
      </c>
      <c r="J337" s="2" t="s">
        <v>306</v>
      </c>
      <c r="K337" s="2" t="s">
        <v>819</v>
      </c>
      <c r="L337" s="2"/>
      <c r="M337" s="1"/>
      <c r="O337" t="str">
        <f>_xlfn.CONCAT("https://raw.githubusercontent.com/LaryBird12/geo-images/main/images/",Table_Master_Inventory[[#This Row],[Master Record ID]],".jpg")</f>
        <v>https://raw.githubusercontent.com/LaryBird12/geo-images/main/images/326.jpg</v>
      </c>
      <c r="P337" s="3"/>
      <c r="Q337" t="b">
        <v>1</v>
      </c>
      <c r="R337" t="b">
        <v>0</v>
      </c>
      <c r="S337" t="b">
        <v>1</v>
      </c>
      <c r="T337" t="b">
        <v>1</v>
      </c>
      <c r="U337" t="b">
        <v>1</v>
      </c>
      <c r="V337" t="b">
        <v>0</v>
      </c>
      <c r="W337" t="b">
        <v>0</v>
      </c>
    </row>
    <row r="338" spans="1:23" ht="14.25" hidden="1" x14ac:dyDescent="0.45">
      <c r="A338">
        <v>327</v>
      </c>
      <c r="B338" t="s">
        <v>820</v>
      </c>
      <c r="C338" t="s">
        <v>25</v>
      </c>
      <c r="D338" t="s">
        <v>304</v>
      </c>
      <c r="E338" t="s">
        <v>810</v>
      </c>
      <c r="F338" s="2" t="s">
        <v>821</v>
      </c>
      <c r="I338" t="s">
        <v>101</v>
      </c>
      <c r="J338" s="2" t="s">
        <v>822</v>
      </c>
      <c r="K338" s="2" t="s">
        <v>823</v>
      </c>
      <c r="L338" s="2"/>
      <c r="M338" s="1">
        <v>47.73</v>
      </c>
      <c r="O338" t="str">
        <f>_xlfn.CONCAT("https://raw.githubusercontent.com/LaryBird12/geo-images/main/images/",Table_Master_Inventory[[#This Row],[Master Record ID]],".jpg")</f>
        <v>https://raw.githubusercontent.com/LaryBird12/geo-images/main/images/327.jpg</v>
      </c>
      <c r="P338" s="3"/>
      <c r="Q338" t="b">
        <v>1</v>
      </c>
      <c r="R338" t="b">
        <v>0</v>
      </c>
      <c r="S338" t="b">
        <v>1</v>
      </c>
      <c r="T338" t="b">
        <v>1</v>
      </c>
      <c r="U338" t="b">
        <v>1</v>
      </c>
      <c r="V338" t="b">
        <v>0</v>
      </c>
      <c r="W338" t="b">
        <v>0</v>
      </c>
    </row>
    <row r="339" spans="1:23" ht="14.25" hidden="1" x14ac:dyDescent="0.45">
      <c r="A339">
        <v>328</v>
      </c>
      <c r="B339" t="s">
        <v>824</v>
      </c>
      <c r="C339" t="s">
        <v>25</v>
      </c>
      <c r="D339" t="s">
        <v>304</v>
      </c>
      <c r="E339" t="s">
        <v>810</v>
      </c>
      <c r="F339" s="2" t="s">
        <v>825</v>
      </c>
      <c r="I339" t="s">
        <v>101</v>
      </c>
      <c r="J339" s="2" t="s">
        <v>826</v>
      </c>
      <c r="K339" s="2">
        <v>2</v>
      </c>
      <c r="L339" s="2"/>
      <c r="M339" s="1">
        <v>9.08</v>
      </c>
      <c r="O339" t="str">
        <f>_xlfn.CONCAT("https://raw.githubusercontent.com/LaryBird12/geo-images/main/images/",Table_Master_Inventory[[#This Row],[Master Record ID]],".jpg")</f>
        <v>https://raw.githubusercontent.com/LaryBird12/geo-images/main/images/328.jpg</v>
      </c>
      <c r="P339" s="3"/>
      <c r="Q339" t="b">
        <v>1</v>
      </c>
      <c r="R339" t="b">
        <v>0</v>
      </c>
      <c r="S339" t="b">
        <v>1</v>
      </c>
      <c r="T339" t="b">
        <v>1</v>
      </c>
      <c r="U339" t="b">
        <v>1</v>
      </c>
      <c r="V339" t="b">
        <v>0</v>
      </c>
      <c r="W339" t="b">
        <v>0</v>
      </c>
    </row>
    <row r="340" spans="1:23" ht="14.25" hidden="1" x14ac:dyDescent="0.45">
      <c r="A340">
        <v>329</v>
      </c>
      <c r="B340" t="s">
        <v>827</v>
      </c>
      <c r="C340" t="s">
        <v>25</v>
      </c>
      <c r="D340" t="s">
        <v>304</v>
      </c>
      <c r="E340" t="s">
        <v>810</v>
      </c>
      <c r="F340" s="2" t="s">
        <v>825</v>
      </c>
      <c r="I340" t="s">
        <v>101</v>
      </c>
      <c r="J340" s="2" t="s">
        <v>828</v>
      </c>
      <c r="K340" s="2">
        <v>2</v>
      </c>
      <c r="L340" s="2"/>
      <c r="M340" s="1">
        <v>9.1999999999999993</v>
      </c>
      <c r="O340" t="str">
        <f>_xlfn.CONCAT("https://raw.githubusercontent.com/LaryBird12/geo-images/main/images/",Table_Master_Inventory[[#This Row],[Master Record ID]],".jpg")</f>
        <v>https://raw.githubusercontent.com/LaryBird12/geo-images/main/images/329.jpg</v>
      </c>
      <c r="P340" s="3"/>
      <c r="Q340" t="b">
        <v>1</v>
      </c>
      <c r="R340" t="b">
        <v>0</v>
      </c>
      <c r="S340" t="b">
        <v>1</v>
      </c>
      <c r="T340" t="b">
        <v>1</v>
      </c>
      <c r="U340" t="b">
        <v>1</v>
      </c>
      <c r="V340" t="b">
        <v>0</v>
      </c>
      <c r="W340" t="b">
        <v>0</v>
      </c>
    </row>
    <row r="341" spans="1:23" ht="14.25" hidden="1" x14ac:dyDescent="0.45">
      <c r="A341">
        <v>330</v>
      </c>
      <c r="B341" t="s">
        <v>829</v>
      </c>
      <c r="C341" t="s">
        <v>25</v>
      </c>
      <c r="D341" t="s">
        <v>304</v>
      </c>
      <c r="E341" t="s">
        <v>810</v>
      </c>
      <c r="F341" s="2" t="s">
        <v>830</v>
      </c>
      <c r="I341" t="s">
        <v>312</v>
      </c>
      <c r="J341" s="2" t="s">
        <v>306</v>
      </c>
      <c r="K341" s="2">
        <v>6</v>
      </c>
      <c r="L341" s="2"/>
      <c r="M341" s="1"/>
      <c r="O341" t="str">
        <f>_xlfn.CONCAT("https://raw.githubusercontent.com/LaryBird12/geo-images/main/images/",Table_Master_Inventory[[#This Row],[Master Record ID]],".jpg")</f>
        <v>https://raw.githubusercontent.com/LaryBird12/geo-images/main/images/330.jpg</v>
      </c>
      <c r="P341" s="3"/>
      <c r="Q341" t="b">
        <v>1</v>
      </c>
      <c r="R341" t="b">
        <v>0</v>
      </c>
      <c r="S341" t="b">
        <v>1</v>
      </c>
      <c r="T341" t="b">
        <v>1</v>
      </c>
      <c r="U341" t="b">
        <v>1</v>
      </c>
      <c r="V341" t="b">
        <v>0</v>
      </c>
      <c r="W341" t="b">
        <v>0</v>
      </c>
    </row>
    <row r="342" spans="1:23" ht="14.25" hidden="1" x14ac:dyDescent="0.45">
      <c r="A342">
        <v>331</v>
      </c>
      <c r="B342" t="s">
        <v>831</v>
      </c>
      <c r="C342" t="s">
        <v>25</v>
      </c>
      <c r="D342" t="s">
        <v>304</v>
      </c>
      <c r="E342" t="s">
        <v>810</v>
      </c>
      <c r="F342" s="2" t="s">
        <v>830</v>
      </c>
      <c r="I342" t="s">
        <v>312</v>
      </c>
      <c r="J342" s="2" t="s">
        <v>306</v>
      </c>
      <c r="K342" s="2">
        <v>6</v>
      </c>
      <c r="L342" s="2"/>
      <c r="M342" s="1"/>
      <c r="O342" t="str">
        <f>_xlfn.CONCAT("https://raw.githubusercontent.com/LaryBird12/geo-images/main/images/",Table_Master_Inventory[[#This Row],[Master Record ID]],".jpg")</f>
        <v>https://raw.githubusercontent.com/LaryBird12/geo-images/main/images/331.jpg</v>
      </c>
      <c r="P342" s="3"/>
      <c r="Q342" t="b">
        <v>1</v>
      </c>
      <c r="R342" t="b">
        <v>0</v>
      </c>
      <c r="S342" t="b">
        <v>1</v>
      </c>
      <c r="T342" t="b">
        <v>1</v>
      </c>
      <c r="U342" t="b">
        <v>1</v>
      </c>
      <c r="V342" t="b">
        <v>0</v>
      </c>
      <c r="W342" t="b">
        <v>0</v>
      </c>
    </row>
  </sheetData>
  <phoneticPr fontId="1" type="noConversion"/>
  <conditionalFormatting sqref="Q12:W342">
    <cfRule type="cellIs" dxfId="33" priority="1" operator="equal">
      <formula>FALSE</formula>
    </cfRule>
    <cfRule type="cellIs" dxfId="32" priority="2" operator="equal">
      <formula>TRUE</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Button1_Click">
                <anchor moveWithCells="1" sizeWithCells="1">
                  <from>
                    <xdr:col>12</xdr:col>
                    <xdr:colOff>109538</xdr:colOff>
                    <xdr:row>1</xdr:row>
                    <xdr:rowOff>385763</xdr:rowOff>
                  </from>
                  <to>
                    <xdr:col>14</xdr:col>
                    <xdr:colOff>0</xdr:colOff>
                    <xdr:row>1</xdr:row>
                    <xdr:rowOff>809625</xdr:rowOff>
                  </to>
                </anchor>
              </controlPr>
            </control>
          </mc:Choice>
        </mc:AlternateContent>
        <mc:AlternateContent xmlns:mc="http://schemas.openxmlformats.org/markup-compatibility/2006">
          <mc:Choice Requires="x14">
            <control shapeId="5123" r:id="rId5" name="Button 3">
              <controlPr defaultSize="0" print="0" autoFill="0" autoPict="0" macro="[0]!Button3_Click">
                <anchor moveWithCells="1" sizeWithCells="1">
                  <from>
                    <xdr:col>12</xdr:col>
                    <xdr:colOff>147638</xdr:colOff>
                    <xdr:row>0</xdr:row>
                    <xdr:rowOff>114300</xdr:rowOff>
                  </from>
                  <to>
                    <xdr:col>23</xdr:col>
                    <xdr:colOff>314325</xdr:colOff>
                    <xdr:row>0</xdr:row>
                    <xdr:rowOff>495300</xdr:rowOff>
                  </to>
                </anchor>
              </controlPr>
            </control>
          </mc:Choice>
        </mc:AlternateContent>
      </controls>
    </mc:Choice>
  </mc:AlternateContent>
  <tableParts count="1">
    <tablePart r:id="rId6"/>
  </tableParts>
  <extLst>
    <ext xmlns:x15="http://schemas.microsoft.com/office/spreadsheetml/2010/11/main" uri="{3A4CF648-6AED-40f4-86FF-DC5316D8AED3}">
      <x14:slicerList xmlns:x14="http://schemas.microsoft.com/office/spreadsheetml/2009/9/main">
        <x14:slicer r:id="rId7"/>
      </x14:slicerList>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662A3D-6882-4D4C-AA52-CD6A653E0AEF}">
  <sheetPr codeName="Sheet1"/>
  <dimension ref="A1:X270"/>
  <sheetViews>
    <sheetView zoomScale="80" zoomScaleNormal="80" workbookViewId="0">
      <pane ySplit="11" topLeftCell="A200" activePane="bottomLeft" state="frozen"/>
      <selection pane="bottomLeft" activeCell="B205" sqref="B205"/>
    </sheetView>
  </sheetViews>
  <sheetFormatPr defaultRowHeight="14.25" x14ac:dyDescent="0.45"/>
  <cols>
    <col min="1" max="1" width="7" bestFit="1" customWidth="1"/>
    <col min="2" max="2" width="36" bestFit="1" customWidth="1"/>
    <col min="3" max="4" width="7" bestFit="1" customWidth="1"/>
    <col min="5" max="5" width="18.265625" bestFit="1" customWidth="1"/>
    <col min="6" max="6" width="33.06640625" bestFit="1" customWidth="1"/>
    <col min="7" max="7" width="11.73046875" hidden="1" customWidth="1"/>
    <col min="8" max="8" width="10.1328125" hidden="1" customWidth="1"/>
    <col min="9" max="9" width="69" hidden="1" customWidth="1"/>
    <col min="10" max="12" width="6.1328125" hidden="1" customWidth="1"/>
    <col min="13" max="13" width="6.73046875" hidden="1" customWidth="1"/>
    <col min="14" max="14" width="22.86328125" hidden="1" customWidth="1"/>
    <col min="15" max="16" width="7.06640625" bestFit="1" customWidth="1"/>
    <col min="17" max="19" width="7" bestFit="1" customWidth="1"/>
    <col min="20" max="20" width="25.46484375" bestFit="1" customWidth="1"/>
    <col min="21" max="21" width="6.73046875" bestFit="1" customWidth="1"/>
    <col min="22" max="22" width="9.265625" customWidth="1"/>
    <col min="23" max="23" width="9.59765625" customWidth="1"/>
    <col min="24" max="24" width="22.86328125" customWidth="1"/>
  </cols>
  <sheetData>
    <row r="1" spans="1:24" ht="191.1" customHeight="1" x14ac:dyDescent="0.45"/>
    <row r="2" spans="1:24" s="10" customFormat="1" ht="30.75" x14ac:dyDescent="0.9">
      <c r="A2" s="10">
        <f>SUBTOTAL(3,Table_Trailer_Restock[Master Record ID])</f>
        <v>259</v>
      </c>
      <c r="B2" s="10" t="s">
        <v>832</v>
      </c>
      <c r="C2" s="10" t="s">
        <v>833</v>
      </c>
    </row>
    <row r="3" spans="1:24" hidden="1" x14ac:dyDescent="0.45"/>
    <row r="4" spans="1:24" hidden="1" x14ac:dyDescent="0.45"/>
    <row r="5" spans="1:24" hidden="1" x14ac:dyDescent="0.45"/>
    <row r="6" spans="1:24" hidden="1" x14ac:dyDescent="0.45"/>
    <row r="7" spans="1:24" hidden="1" x14ac:dyDescent="0.45"/>
    <row r="8" spans="1:24" hidden="1" x14ac:dyDescent="0.45"/>
    <row r="9" spans="1:24" ht="21.75" hidden="1" x14ac:dyDescent="0.45"/>
    <row r="10" spans="1:24" ht="53.65" hidden="1" x14ac:dyDescent="0.45"/>
    <row r="11" spans="1:24" s="4" customFormat="1" ht="90.4" x14ac:dyDescent="0.45">
      <c r="A11" s="4" t="s">
        <v>1</v>
      </c>
      <c r="B11" s="4" t="s">
        <v>2</v>
      </c>
      <c r="C11" s="4" t="s">
        <v>7</v>
      </c>
      <c r="D11" s="4" t="s">
        <v>8</v>
      </c>
      <c r="E11" s="4" t="s">
        <v>9</v>
      </c>
      <c r="F11" s="4" t="s">
        <v>10</v>
      </c>
      <c r="G11" s="4" t="s">
        <v>11</v>
      </c>
      <c r="H11" s="4" t="s">
        <v>12</v>
      </c>
      <c r="I11" s="4" t="s">
        <v>15</v>
      </c>
      <c r="J11" s="4" t="s">
        <v>17</v>
      </c>
      <c r="K11" s="4" t="s">
        <v>834</v>
      </c>
      <c r="L11" s="4" t="s">
        <v>835</v>
      </c>
      <c r="M11" s="4" t="s">
        <v>836</v>
      </c>
      <c r="N11" s="4" t="s">
        <v>837</v>
      </c>
      <c r="O11" s="4" t="s">
        <v>838</v>
      </c>
      <c r="P11" s="4" t="s">
        <v>839</v>
      </c>
      <c r="Q11" s="4" t="s">
        <v>840</v>
      </c>
      <c r="R11" s="4" t="s">
        <v>841</v>
      </c>
      <c r="S11" s="4" t="s">
        <v>842</v>
      </c>
      <c r="T11" s="4" t="s">
        <v>843</v>
      </c>
      <c r="V11" s="4" t="s">
        <v>844</v>
      </c>
      <c r="W11" s="4" t="s">
        <v>837</v>
      </c>
      <c r="X11" s="4" t="s">
        <v>845</v>
      </c>
    </row>
    <row r="12" spans="1:24" x14ac:dyDescent="0.45">
      <c r="A12">
        <v>1</v>
      </c>
      <c r="B12" t="s">
        <v>24</v>
      </c>
      <c r="E12" t="s">
        <v>29</v>
      </c>
      <c r="F12" s="16" t="s">
        <v>30</v>
      </c>
      <c r="G12" s="16">
        <v>4</v>
      </c>
      <c r="H12" s="16">
        <v>2</v>
      </c>
      <c r="I12" t="s">
        <v>846</v>
      </c>
      <c r="J12" t="b">
        <v>1</v>
      </c>
      <c r="K12" t="b">
        <v>0</v>
      </c>
      <c r="L12" t="b">
        <v>1</v>
      </c>
      <c r="M12" s="9"/>
      <c r="N12" t="s">
        <v>847</v>
      </c>
      <c r="O12">
        <v>1</v>
      </c>
      <c r="P12">
        <v>1</v>
      </c>
      <c r="Q12" t="s">
        <v>848</v>
      </c>
      <c r="R12" t="str">
        <f>_xlfn.XLOOKUP(Table_Trailer_Restock[[#This Row],[Location]],Table_Trailer_Location[[Label ]],Table_Trailer_Location[Sort Order],"",0,1)</f>
        <v>C04</v>
      </c>
      <c r="S12">
        <v>1</v>
      </c>
      <c r="T12" t="str">
        <f>_xlfn.CONCAT(Table_Trailer_Restock[[#This Row],[Macro Sort]]," ",Table_Trailer_Restock[[#This Row],[Location]])</f>
        <v>C04 Electrical Connections</v>
      </c>
      <c r="V12" t="s">
        <v>849</v>
      </c>
      <c r="W12" t="s">
        <v>835</v>
      </c>
      <c r="X12" t="s">
        <v>87</v>
      </c>
    </row>
    <row r="13" spans="1:24" x14ac:dyDescent="0.45">
      <c r="A13">
        <v>2</v>
      </c>
      <c r="B13" t="s">
        <v>32</v>
      </c>
      <c r="E13" t="s">
        <v>29</v>
      </c>
      <c r="F13" s="16" t="s">
        <v>33</v>
      </c>
      <c r="G13" s="16">
        <v>4</v>
      </c>
      <c r="H13" s="16">
        <v>4</v>
      </c>
      <c r="I13" t="s">
        <v>850</v>
      </c>
      <c r="J13" t="b">
        <v>1</v>
      </c>
      <c r="K13" t="b">
        <v>0</v>
      </c>
      <c r="L13" t="b">
        <v>1</v>
      </c>
      <c r="M13" s="9"/>
      <c r="N13" t="s">
        <v>847</v>
      </c>
      <c r="O13">
        <v>2</v>
      </c>
      <c r="P13">
        <v>1</v>
      </c>
      <c r="Q13" t="s">
        <v>848</v>
      </c>
      <c r="R13" t="str">
        <f>_xlfn.XLOOKUP(Table_Trailer_Restock[[#This Row],[Location]],Table_Trailer_Location[[Label ]],Table_Trailer_Location[Sort Order],"",0,1)</f>
        <v>C04</v>
      </c>
      <c r="S13">
        <v>2</v>
      </c>
      <c r="T13" t="str">
        <f>_xlfn.CONCAT(Table_Trailer_Restock[[#This Row],[Macro Sort]]," ",Table_Trailer_Restock[[#This Row],[Location]])</f>
        <v>C04 Electrical Connections</v>
      </c>
      <c r="V13" t="s">
        <v>851</v>
      </c>
      <c r="W13" t="s">
        <v>835</v>
      </c>
      <c r="X13" t="s">
        <v>239</v>
      </c>
    </row>
    <row r="14" spans="1:24" x14ac:dyDescent="0.45">
      <c r="A14">
        <v>3</v>
      </c>
      <c r="B14" t="s">
        <v>34</v>
      </c>
      <c r="E14" t="s">
        <v>29</v>
      </c>
      <c r="F14" s="16">
        <v>959340</v>
      </c>
      <c r="G14" s="16">
        <v>12</v>
      </c>
      <c r="H14" s="16">
        <v>4</v>
      </c>
      <c r="I14" t="s">
        <v>852</v>
      </c>
      <c r="J14" t="b">
        <v>1</v>
      </c>
      <c r="K14" t="b">
        <v>0</v>
      </c>
      <c r="L14" t="b">
        <v>1</v>
      </c>
      <c r="M14" s="9"/>
      <c r="N14" t="s">
        <v>847</v>
      </c>
      <c r="O14">
        <v>2</v>
      </c>
      <c r="P14">
        <v>6</v>
      </c>
      <c r="Q14" t="s">
        <v>848</v>
      </c>
      <c r="R14" t="str">
        <f>_xlfn.XLOOKUP(Table_Trailer_Restock[[#This Row],[Location]],Table_Trailer_Location[[Label ]],Table_Trailer_Location[Sort Order],"",0,1)</f>
        <v>C04</v>
      </c>
      <c r="S14">
        <v>3</v>
      </c>
      <c r="T14" t="str">
        <f>_xlfn.CONCAT(Table_Trailer_Restock[[#This Row],[Macro Sort]]," ",Table_Trailer_Restock[[#This Row],[Location]])</f>
        <v>C04 Electrical Connections</v>
      </c>
      <c r="V14" t="s">
        <v>853</v>
      </c>
      <c r="W14" t="s">
        <v>835</v>
      </c>
      <c r="X14" t="s">
        <v>854</v>
      </c>
    </row>
    <row r="15" spans="1:24" x14ac:dyDescent="0.45">
      <c r="A15">
        <v>4</v>
      </c>
      <c r="B15" t="s">
        <v>36</v>
      </c>
      <c r="E15" t="s">
        <v>29</v>
      </c>
      <c r="F15" s="16">
        <v>1005183384</v>
      </c>
      <c r="G15" s="16">
        <v>12</v>
      </c>
      <c r="H15" s="16">
        <v>4</v>
      </c>
      <c r="I15" t="s">
        <v>855</v>
      </c>
      <c r="J15" t="b">
        <v>1</v>
      </c>
      <c r="K15" t="b">
        <v>0</v>
      </c>
      <c r="L15" t="b">
        <v>1</v>
      </c>
      <c r="M15" s="9"/>
      <c r="N15" t="s">
        <v>847</v>
      </c>
      <c r="O15">
        <v>2</v>
      </c>
      <c r="P15">
        <v>6</v>
      </c>
      <c r="Q15" t="s">
        <v>848</v>
      </c>
      <c r="R15" t="str">
        <f>_xlfn.XLOOKUP(Table_Trailer_Restock[[#This Row],[Location]],Table_Trailer_Location[[Label ]],Table_Trailer_Location[Sort Order],"",0,1)</f>
        <v>C04</v>
      </c>
      <c r="S15">
        <v>4</v>
      </c>
      <c r="T15" t="str">
        <f>_xlfn.CONCAT(Table_Trailer_Restock[[#This Row],[Macro Sort]]," ",Table_Trailer_Restock[[#This Row],[Location]])</f>
        <v>C04 Electrical Connections</v>
      </c>
      <c r="V15" t="s">
        <v>856</v>
      </c>
      <c r="W15" t="s">
        <v>835</v>
      </c>
      <c r="X15" t="s">
        <v>847</v>
      </c>
    </row>
    <row r="16" spans="1:24" x14ac:dyDescent="0.45">
      <c r="A16">
        <v>5</v>
      </c>
      <c r="B16" t="s">
        <v>38</v>
      </c>
      <c r="E16" t="s">
        <v>29</v>
      </c>
      <c r="F16" s="16">
        <v>349236</v>
      </c>
      <c r="G16" s="16">
        <v>10</v>
      </c>
      <c r="H16" s="16">
        <v>4</v>
      </c>
      <c r="I16" t="s">
        <v>857</v>
      </c>
      <c r="J16" t="b">
        <v>1</v>
      </c>
      <c r="K16" t="b">
        <v>0</v>
      </c>
      <c r="L16" t="b">
        <v>1</v>
      </c>
      <c r="M16" s="9"/>
      <c r="N16" t="s">
        <v>847</v>
      </c>
      <c r="O16">
        <v>10</v>
      </c>
      <c r="P16">
        <v>4</v>
      </c>
      <c r="Q16" t="s">
        <v>848</v>
      </c>
      <c r="R16" t="str">
        <f>_xlfn.XLOOKUP(Table_Trailer_Restock[[#This Row],[Location]],Table_Trailer_Location[[Label ]],Table_Trailer_Location[Sort Order],"",0,1)</f>
        <v>C04</v>
      </c>
      <c r="S16">
        <v>5</v>
      </c>
      <c r="T16" t="str">
        <f>_xlfn.CONCAT(Table_Trailer_Restock[[#This Row],[Macro Sort]]," ",Table_Trailer_Restock[[#This Row],[Location]])</f>
        <v>C04 Electrical Connections</v>
      </c>
      <c r="V16" t="s">
        <v>858</v>
      </c>
      <c r="W16" t="s">
        <v>835</v>
      </c>
      <c r="X16" t="s">
        <v>118</v>
      </c>
    </row>
    <row r="17" spans="1:24" x14ac:dyDescent="0.45">
      <c r="A17">
        <v>6</v>
      </c>
      <c r="B17" t="s">
        <v>39</v>
      </c>
      <c r="E17" t="s">
        <v>40</v>
      </c>
      <c r="F17" s="16" t="s">
        <v>41</v>
      </c>
      <c r="G17" s="16">
        <v>50</v>
      </c>
      <c r="H17" s="16">
        <v>10</v>
      </c>
      <c r="I17" t="s">
        <v>859</v>
      </c>
      <c r="J17" t="b">
        <v>1</v>
      </c>
      <c r="K17" t="b">
        <v>0</v>
      </c>
      <c r="L17" t="b">
        <v>1</v>
      </c>
      <c r="M17" s="9"/>
      <c r="N17" t="s">
        <v>847</v>
      </c>
      <c r="O17">
        <v>12</v>
      </c>
      <c r="P17">
        <v>4</v>
      </c>
      <c r="Q17" t="s">
        <v>848</v>
      </c>
      <c r="R17" t="str">
        <f>_xlfn.XLOOKUP(Table_Trailer_Restock[[#This Row],[Location]],Table_Trailer_Location[[Label ]],Table_Trailer_Location[Sort Order],"",0,1)</f>
        <v>C04</v>
      </c>
      <c r="S17">
        <v>6</v>
      </c>
      <c r="T17" t="str">
        <f>_xlfn.CONCAT(Table_Trailer_Restock[[#This Row],[Macro Sort]]," ",Table_Trailer_Restock[[#This Row],[Location]])</f>
        <v>C04 Electrical Connections</v>
      </c>
      <c r="V17" t="s">
        <v>860</v>
      </c>
      <c r="W17" t="s">
        <v>835</v>
      </c>
      <c r="X17" t="s">
        <v>134</v>
      </c>
    </row>
    <row r="18" spans="1:24" x14ac:dyDescent="0.45">
      <c r="A18">
        <v>7</v>
      </c>
      <c r="B18" t="s">
        <v>42</v>
      </c>
      <c r="E18" t="s">
        <v>40</v>
      </c>
      <c r="F18" s="16" t="s">
        <v>43</v>
      </c>
      <c r="G18" s="16">
        <v>50</v>
      </c>
      <c r="H18" s="16">
        <v>10</v>
      </c>
      <c r="I18" t="s">
        <v>861</v>
      </c>
      <c r="J18" t="b">
        <v>1</v>
      </c>
      <c r="K18" t="b">
        <v>0</v>
      </c>
      <c r="L18" t="b">
        <v>1</v>
      </c>
      <c r="M18" s="9"/>
      <c r="N18" t="s">
        <v>847</v>
      </c>
      <c r="O18">
        <v>12</v>
      </c>
      <c r="P18">
        <v>4</v>
      </c>
      <c r="Q18" t="s">
        <v>848</v>
      </c>
      <c r="R18" t="str">
        <f>_xlfn.XLOOKUP(Table_Trailer_Restock[[#This Row],[Location]],Table_Trailer_Location[[Label ]],Table_Trailer_Location[Sort Order],"",0,1)</f>
        <v>C04</v>
      </c>
      <c r="S18">
        <v>7</v>
      </c>
      <c r="T18" t="str">
        <f>_xlfn.CONCAT(Table_Trailer_Restock[[#This Row],[Macro Sort]]," ",Table_Trailer_Restock[[#This Row],[Location]])</f>
        <v>C04 Electrical Connections</v>
      </c>
      <c r="V18" t="s">
        <v>862</v>
      </c>
      <c r="W18" t="s">
        <v>835</v>
      </c>
      <c r="X18" t="s">
        <v>863</v>
      </c>
    </row>
    <row r="19" spans="1:24" x14ac:dyDescent="0.45">
      <c r="A19">
        <v>8</v>
      </c>
      <c r="B19" t="s">
        <v>44</v>
      </c>
      <c r="E19" t="s">
        <v>40</v>
      </c>
      <c r="F19" s="16" t="s">
        <v>46</v>
      </c>
      <c r="G19" s="16">
        <v>50</v>
      </c>
      <c r="H19" s="16">
        <v>10</v>
      </c>
      <c r="I19" t="s">
        <v>864</v>
      </c>
      <c r="J19" t="b">
        <v>1</v>
      </c>
      <c r="K19" t="b">
        <v>0</v>
      </c>
      <c r="L19" t="b">
        <v>1</v>
      </c>
      <c r="M19" s="9"/>
      <c r="N19" t="s">
        <v>847</v>
      </c>
      <c r="O19">
        <v>10</v>
      </c>
      <c r="P19">
        <v>2</v>
      </c>
      <c r="Q19" t="s">
        <v>848</v>
      </c>
      <c r="R19" t="str">
        <f>_xlfn.XLOOKUP(Table_Trailer_Restock[[#This Row],[Location]],Table_Trailer_Location[[Label ]],Table_Trailer_Location[Sort Order],"",0,1)</f>
        <v>C04</v>
      </c>
      <c r="S19">
        <v>8</v>
      </c>
      <c r="T19" t="str">
        <f>_xlfn.CONCAT(Table_Trailer_Restock[[#This Row],[Macro Sort]]," ",Table_Trailer_Restock[[#This Row],[Location]])</f>
        <v>C04 Electrical Connections</v>
      </c>
      <c r="V19" t="s">
        <v>865</v>
      </c>
      <c r="W19" t="s">
        <v>835</v>
      </c>
      <c r="X19" t="s">
        <v>866</v>
      </c>
    </row>
    <row r="20" spans="1:24" x14ac:dyDescent="0.45">
      <c r="A20">
        <v>9</v>
      </c>
      <c r="B20" t="s">
        <v>47</v>
      </c>
      <c r="E20" t="s">
        <v>40</v>
      </c>
      <c r="F20" s="16" t="s">
        <v>48</v>
      </c>
      <c r="G20" s="16">
        <v>100</v>
      </c>
      <c r="H20" s="16">
        <v>20</v>
      </c>
      <c r="I20" t="s">
        <v>867</v>
      </c>
      <c r="J20" t="b">
        <v>1</v>
      </c>
      <c r="K20" t="b">
        <v>0</v>
      </c>
      <c r="L20" t="b">
        <v>1</v>
      </c>
      <c r="M20" s="9"/>
      <c r="N20" t="s">
        <v>847</v>
      </c>
      <c r="O20" t="s">
        <v>868</v>
      </c>
      <c r="P20" t="s">
        <v>869</v>
      </c>
      <c r="Q20" t="s">
        <v>870</v>
      </c>
      <c r="R20" t="str">
        <f>_xlfn.XLOOKUP(Table_Trailer_Restock[[#This Row],[Location]],Table_Trailer_Location[[Label ]],Table_Trailer_Location[Sort Order],"",0,1)</f>
        <v>C04</v>
      </c>
      <c r="S20">
        <v>10</v>
      </c>
      <c r="T20" t="str">
        <f>_xlfn.CONCAT(Table_Trailer_Restock[[#This Row],[Macro Sort]]," ",Table_Trailer_Restock[[#This Row],[Location]])</f>
        <v>C04 Electrical Connections</v>
      </c>
      <c r="V20" t="s">
        <v>871</v>
      </c>
      <c r="W20" t="s">
        <v>835</v>
      </c>
      <c r="X20" t="s">
        <v>872</v>
      </c>
    </row>
    <row r="21" spans="1:24" x14ac:dyDescent="0.45">
      <c r="A21">
        <v>10</v>
      </c>
      <c r="B21" t="s">
        <v>49</v>
      </c>
      <c r="E21" t="s">
        <v>40</v>
      </c>
      <c r="F21" s="16" t="s">
        <v>50</v>
      </c>
      <c r="G21" s="16">
        <v>100</v>
      </c>
      <c r="H21" s="16">
        <v>20</v>
      </c>
      <c r="I21" t="s">
        <v>873</v>
      </c>
      <c r="J21" t="b">
        <v>1</v>
      </c>
      <c r="K21" t="b">
        <v>0</v>
      </c>
      <c r="L21" t="b">
        <v>1</v>
      </c>
      <c r="M21" s="9"/>
      <c r="N21" t="s">
        <v>847</v>
      </c>
      <c r="O21" t="s">
        <v>868</v>
      </c>
      <c r="P21" t="s">
        <v>869</v>
      </c>
      <c r="Q21" t="s">
        <v>870</v>
      </c>
      <c r="R21" t="str">
        <f>_xlfn.XLOOKUP(Table_Trailer_Restock[[#This Row],[Location]],Table_Trailer_Location[[Label ]],Table_Trailer_Location[Sort Order],"",0,1)</f>
        <v>C04</v>
      </c>
      <c r="S21">
        <v>11</v>
      </c>
      <c r="T21" t="str">
        <f>_xlfn.CONCAT(Table_Trailer_Restock[[#This Row],[Macro Sort]]," ",Table_Trailer_Restock[[#This Row],[Location]])</f>
        <v>C04 Electrical Connections</v>
      </c>
      <c r="V21" t="s">
        <v>874</v>
      </c>
      <c r="W21" t="s">
        <v>835</v>
      </c>
      <c r="X21" t="s">
        <v>875</v>
      </c>
    </row>
    <row r="22" spans="1:24" x14ac:dyDescent="0.45">
      <c r="A22">
        <v>11</v>
      </c>
      <c r="B22" t="s">
        <v>51</v>
      </c>
      <c r="E22" t="s">
        <v>40</v>
      </c>
      <c r="F22" s="16" t="s">
        <v>52</v>
      </c>
      <c r="G22" s="16">
        <v>100</v>
      </c>
      <c r="H22" s="16">
        <v>20</v>
      </c>
      <c r="I22" t="s">
        <v>876</v>
      </c>
      <c r="J22" t="b">
        <v>1</v>
      </c>
      <c r="K22" t="b">
        <v>0</v>
      </c>
      <c r="L22" t="b">
        <v>1</v>
      </c>
      <c r="M22" s="9"/>
      <c r="N22" t="s">
        <v>847</v>
      </c>
      <c r="O22" t="s">
        <v>868</v>
      </c>
      <c r="P22" t="s">
        <v>869</v>
      </c>
      <c r="Q22" t="s">
        <v>870</v>
      </c>
      <c r="R22" t="str">
        <f>_xlfn.XLOOKUP(Table_Trailer_Restock[[#This Row],[Location]],Table_Trailer_Location[[Label ]],Table_Trailer_Location[Sort Order],"",0,1)</f>
        <v>C04</v>
      </c>
      <c r="S22">
        <v>12</v>
      </c>
      <c r="T22" t="str">
        <f>_xlfn.CONCAT(Table_Trailer_Restock[[#This Row],[Macro Sort]]," ",Table_Trailer_Restock[[#This Row],[Location]])</f>
        <v>C04 Electrical Connections</v>
      </c>
      <c r="V22" t="s">
        <v>877</v>
      </c>
      <c r="W22" t="s">
        <v>878</v>
      </c>
      <c r="X22" t="s">
        <v>258</v>
      </c>
    </row>
    <row r="23" spans="1:24" x14ac:dyDescent="0.45">
      <c r="A23">
        <v>12</v>
      </c>
      <c r="B23" t="s">
        <v>53</v>
      </c>
      <c r="E23" t="s">
        <v>40</v>
      </c>
      <c r="F23" s="16" t="s">
        <v>54</v>
      </c>
      <c r="G23" s="16">
        <v>100</v>
      </c>
      <c r="H23" s="16">
        <v>20</v>
      </c>
      <c r="I23" t="s">
        <v>879</v>
      </c>
      <c r="J23" t="b">
        <v>1</v>
      </c>
      <c r="K23" t="b">
        <v>0</v>
      </c>
      <c r="L23" t="b">
        <v>1</v>
      </c>
      <c r="M23" s="9"/>
      <c r="N23" t="s">
        <v>847</v>
      </c>
      <c r="O23" t="s">
        <v>868</v>
      </c>
      <c r="P23" t="s">
        <v>869</v>
      </c>
      <c r="Q23" t="s">
        <v>870</v>
      </c>
      <c r="R23" t="str">
        <f>_xlfn.XLOOKUP(Table_Trailer_Restock[[#This Row],[Location]],Table_Trailer_Location[[Label ]],Table_Trailer_Location[Sort Order],"",0,1)</f>
        <v>C04</v>
      </c>
      <c r="S23">
        <v>9</v>
      </c>
      <c r="T23" t="str">
        <f>_xlfn.CONCAT(Table_Trailer_Restock[[#This Row],[Macro Sort]]," ",Table_Trailer_Restock[[#This Row],[Location]])</f>
        <v>C04 Electrical Connections</v>
      </c>
      <c r="V23" t="s">
        <v>880</v>
      </c>
      <c r="W23" t="s">
        <v>878</v>
      </c>
      <c r="X23" t="s">
        <v>881</v>
      </c>
    </row>
    <row r="24" spans="1:24" x14ac:dyDescent="0.45">
      <c r="A24">
        <v>13</v>
      </c>
      <c r="B24" t="s">
        <v>55</v>
      </c>
      <c r="E24" t="s">
        <v>40</v>
      </c>
      <c r="F24" s="16" t="s">
        <v>56</v>
      </c>
      <c r="G24" s="16">
        <v>50</v>
      </c>
      <c r="H24" s="16">
        <v>20</v>
      </c>
      <c r="I24" t="s">
        <v>882</v>
      </c>
      <c r="J24" t="b">
        <v>1</v>
      </c>
      <c r="K24" t="b">
        <v>0</v>
      </c>
      <c r="L24" t="b">
        <v>1</v>
      </c>
      <c r="M24" s="9"/>
      <c r="N24" t="s">
        <v>847</v>
      </c>
      <c r="O24" t="s">
        <v>868</v>
      </c>
      <c r="P24" t="s">
        <v>869</v>
      </c>
      <c r="Q24" t="s">
        <v>870</v>
      </c>
      <c r="R24" t="str">
        <f>_xlfn.XLOOKUP(Table_Trailer_Restock[[#This Row],[Location]],Table_Trailer_Location[[Label ]],Table_Trailer_Location[Sort Order],"",0,1)</f>
        <v>C04</v>
      </c>
      <c r="S24">
        <v>13</v>
      </c>
      <c r="T24" t="str">
        <f>_xlfn.CONCAT(Table_Trailer_Restock[[#This Row],[Macro Sort]]," ",Table_Trailer_Restock[[#This Row],[Location]])</f>
        <v>C04 Electrical Connections</v>
      </c>
      <c r="V24" t="s">
        <v>883</v>
      </c>
      <c r="W24" t="s">
        <v>878</v>
      </c>
      <c r="X24" t="s">
        <v>300</v>
      </c>
    </row>
    <row r="25" spans="1:24" x14ac:dyDescent="0.45">
      <c r="A25">
        <v>14</v>
      </c>
      <c r="B25" t="s">
        <v>57</v>
      </c>
      <c r="E25" t="s">
        <v>29</v>
      </c>
      <c r="F25" s="16">
        <v>292579</v>
      </c>
      <c r="G25" s="16">
        <v>50</v>
      </c>
      <c r="H25" s="16">
        <v>10</v>
      </c>
      <c r="I25" t="s">
        <v>884</v>
      </c>
      <c r="J25" t="b">
        <v>1</v>
      </c>
      <c r="K25" t="b">
        <v>0</v>
      </c>
      <c r="L25" t="b">
        <v>1</v>
      </c>
      <c r="M25" s="9"/>
      <c r="N25" t="s">
        <v>854</v>
      </c>
      <c r="O25" t="s">
        <v>885</v>
      </c>
      <c r="P25">
        <v>20</v>
      </c>
      <c r="Q25" t="s">
        <v>870</v>
      </c>
      <c r="R25" t="str">
        <f>_xlfn.XLOOKUP(Table_Trailer_Restock[[#This Row],[Location]],Table_Trailer_Location[[Label ]],Table_Trailer_Location[Sort Order],"",0,1)</f>
        <v>C03</v>
      </c>
      <c r="S25">
        <v>1</v>
      </c>
      <c r="T25" t="str">
        <f>_xlfn.CONCAT(Table_Trailer_Restock[[#This Row],[Macro Sort]]," ",Table_Trailer_Restock[[#This Row],[Location]])</f>
        <v>C03 Electrical Fittings</v>
      </c>
      <c r="V25" t="s">
        <v>886</v>
      </c>
      <c r="W25" t="s">
        <v>878</v>
      </c>
      <c r="X25" t="s">
        <v>304</v>
      </c>
    </row>
    <row r="26" spans="1:24" x14ac:dyDescent="0.45">
      <c r="A26">
        <v>15</v>
      </c>
      <c r="B26" t="s">
        <v>59</v>
      </c>
      <c r="E26" t="s">
        <v>40</v>
      </c>
      <c r="F26" s="16" t="s">
        <v>61</v>
      </c>
      <c r="G26" s="16">
        <v>50</v>
      </c>
      <c r="H26" s="16">
        <v>20</v>
      </c>
      <c r="I26" t="s">
        <v>887</v>
      </c>
      <c r="J26" t="b">
        <v>1</v>
      </c>
      <c r="K26" t="b">
        <v>0</v>
      </c>
      <c r="L26" t="b">
        <v>1</v>
      </c>
      <c r="M26" s="9"/>
      <c r="N26" t="s">
        <v>854</v>
      </c>
      <c r="O26" t="s">
        <v>868</v>
      </c>
      <c r="P26">
        <v>10</v>
      </c>
      <c r="Q26" t="s">
        <v>870</v>
      </c>
      <c r="R26" t="str">
        <f>_xlfn.XLOOKUP(Table_Trailer_Restock[[#This Row],[Location]],Table_Trailer_Location[[Label ]],Table_Trailer_Location[Sort Order],"",0,1)</f>
        <v>C03</v>
      </c>
      <c r="S26">
        <v>2</v>
      </c>
      <c r="T26" t="str">
        <f>_xlfn.CONCAT(Table_Trailer_Restock[[#This Row],[Macro Sort]]," ",Table_Trailer_Restock[[#This Row],[Location]])</f>
        <v>C03 Electrical Fittings</v>
      </c>
      <c r="V26" t="s">
        <v>888</v>
      </c>
      <c r="W26" t="s">
        <v>878</v>
      </c>
      <c r="X26" t="s">
        <v>889</v>
      </c>
    </row>
    <row r="27" spans="1:24" x14ac:dyDescent="0.45">
      <c r="A27">
        <v>16</v>
      </c>
      <c r="B27" t="s">
        <v>62</v>
      </c>
      <c r="E27" t="s">
        <v>40</v>
      </c>
      <c r="F27" s="16" t="s">
        <v>63</v>
      </c>
      <c r="G27" s="16">
        <v>20</v>
      </c>
      <c r="H27" s="16">
        <v>10</v>
      </c>
      <c r="I27" t="s">
        <v>890</v>
      </c>
      <c r="J27" t="b">
        <v>1</v>
      </c>
      <c r="K27" t="b">
        <v>0</v>
      </c>
      <c r="L27" t="b">
        <v>1</v>
      </c>
      <c r="M27" s="9"/>
      <c r="N27" t="s">
        <v>854</v>
      </c>
      <c r="O27" t="s">
        <v>891</v>
      </c>
      <c r="P27">
        <v>6</v>
      </c>
      <c r="Q27" t="s">
        <v>870</v>
      </c>
      <c r="R27" t="str">
        <f>_xlfn.XLOOKUP(Table_Trailer_Restock[[#This Row],[Location]],Table_Trailer_Location[[Label ]],Table_Trailer_Location[Sort Order],"",0,1)</f>
        <v>C03</v>
      </c>
      <c r="S27">
        <v>3</v>
      </c>
      <c r="T27" t="str">
        <f>_xlfn.CONCAT(Table_Trailer_Restock[[#This Row],[Macro Sort]]," ",Table_Trailer_Restock[[#This Row],[Location]])</f>
        <v>C03 Electrical Fittings</v>
      </c>
      <c r="V27" t="s">
        <v>892</v>
      </c>
      <c r="W27" t="s">
        <v>878</v>
      </c>
      <c r="X27" t="s">
        <v>893</v>
      </c>
    </row>
    <row r="28" spans="1:24" x14ac:dyDescent="0.45">
      <c r="A28">
        <v>17</v>
      </c>
      <c r="B28" t="s">
        <v>64</v>
      </c>
      <c r="E28" t="s">
        <v>40</v>
      </c>
      <c r="F28" s="16" t="s">
        <v>65</v>
      </c>
      <c r="G28" s="16">
        <v>10</v>
      </c>
      <c r="H28" s="16">
        <v>10</v>
      </c>
      <c r="I28" t="s">
        <v>894</v>
      </c>
      <c r="J28" t="b">
        <v>1</v>
      </c>
      <c r="K28" t="b">
        <v>0</v>
      </c>
      <c r="L28" t="b">
        <v>1</v>
      </c>
      <c r="M28" s="9"/>
      <c r="N28" t="s">
        <v>854</v>
      </c>
      <c r="O28">
        <v>6</v>
      </c>
      <c r="P28">
        <v>2</v>
      </c>
      <c r="Q28" t="s">
        <v>848</v>
      </c>
      <c r="R28" t="str">
        <f>_xlfn.XLOOKUP(Table_Trailer_Restock[[#This Row],[Location]],Table_Trailer_Location[[Label ]],Table_Trailer_Location[Sort Order],"",0,1)</f>
        <v>C03</v>
      </c>
      <c r="S28">
        <v>4</v>
      </c>
      <c r="T28" t="str">
        <f>_xlfn.CONCAT(Table_Trailer_Restock[[#This Row],[Macro Sort]]," ",Table_Trailer_Restock[[#This Row],[Location]])</f>
        <v>C03 Electrical Fittings</v>
      </c>
      <c r="V28" t="s">
        <v>895</v>
      </c>
      <c r="W28" t="s">
        <v>878</v>
      </c>
      <c r="X28" t="s">
        <v>896</v>
      </c>
    </row>
    <row r="29" spans="1:24" x14ac:dyDescent="0.45">
      <c r="A29">
        <v>18</v>
      </c>
      <c r="B29" t="s">
        <v>66</v>
      </c>
      <c r="E29" t="s">
        <v>29</v>
      </c>
      <c r="F29" s="16">
        <v>1001403027</v>
      </c>
      <c r="G29" s="16">
        <v>50</v>
      </c>
      <c r="H29" s="16">
        <v>20</v>
      </c>
      <c r="I29" t="s">
        <v>897</v>
      </c>
      <c r="J29" t="b">
        <v>1</v>
      </c>
      <c r="K29" t="b">
        <v>0</v>
      </c>
      <c r="L29" t="b">
        <v>1</v>
      </c>
      <c r="M29" s="9"/>
      <c r="N29" t="s">
        <v>854</v>
      </c>
      <c r="O29" t="s">
        <v>868</v>
      </c>
      <c r="P29">
        <v>10</v>
      </c>
      <c r="Q29" t="s">
        <v>870</v>
      </c>
      <c r="R29" t="str">
        <f>_xlfn.XLOOKUP(Table_Trailer_Restock[[#This Row],[Location]],Table_Trailer_Location[[Label ]],Table_Trailer_Location[Sort Order],"",0,1)</f>
        <v>C03</v>
      </c>
      <c r="S29">
        <v>5</v>
      </c>
      <c r="T29" t="str">
        <f>_xlfn.CONCAT(Table_Trailer_Restock[[#This Row],[Macro Sort]]," ",Table_Trailer_Restock[[#This Row],[Location]])</f>
        <v>C03 Electrical Fittings</v>
      </c>
      <c r="V29" t="s">
        <v>898</v>
      </c>
      <c r="W29" t="s">
        <v>878</v>
      </c>
      <c r="X29" t="s">
        <v>375</v>
      </c>
    </row>
    <row r="30" spans="1:24" x14ac:dyDescent="0.45">
      <c r="A30">
        <v>19</v>
      </c>
      <c r="B30" t="s">
        <v>67</v>
      </c>
      <c r="E30" t="s">
        <v>40</v>
      </c>
      <c r="F30" s="16" t="s">
        <v>69</v>
      </c>
      <c r="G30" s="16">
        <v>10</v>
      </c>
      <c r="H30" s="16">
        <v>4</v>
      </c>
      <c r="I30" t="s">
        <v>899</v>
      </c>
      <c r="J30" t="b">
        <v>1</v>
      </c>
      <c r="K30" t="b">
        <v>0</v>
      </c>
      <c r="L30" t="b">
        <v>1</v>
      </c>
      <c r="M30" s="9"/>
      <c r="N30" t="s">
        <v>854</v>
      </c>
      <c r="O30">
        <v>2</v>
      </c>
      <c r="Q30" t="s">
        <v>848</v>
      </c>
      <c r="R30" t="str">
        <f>_xlfn.XLOOKUP(Table_Trailer_Restock[[#This Row],[Location]],Table_Trailer_Location[[Label ]],Table_Trailer_Location[Sort Order],"",0,1)</f>
        <v>C03</v>
      </c>
      <c r="S30">
        <v>6</v>
      </c>
      <c r="T30" t="str">
        <f>_xlfn.CONCAT(Table_Trailer_Restock[[#This Row],[Macro Sort]]," ",Table_Trailer_Restock[[#This Row],[Location]])</f>
        <v>C03 Electrical Fittings</v>
      </c>
      <c r="V30" t="s">
        <v>900</v>
      </c>
      <c r="W30" t="s">
        <v>878</v>
      </c>
      <c r="X30" t="s">
        <v>901</v>
      </c>
    </row>
    <row r="31" spans="1:24" x14ac:dyDescent="0.45">
      <c r="A31">
        <v>20</v>
      </c>
      <c r="B31" t="s">
        <v>70</v>
      </c>
      <c r="E31" t="s">
        <v>40</v>
      </c>
      <c r="F31" s="16" t="s">
        <v>71</v>
      </c>
      <c r="G31" s="16">
        <v>10</v>
      </c>
      <c r="H31" s="16">
        <v>4</v>
      </c>
      <c r="I31" t="s">
        <v>902</v>
      </c>
      <c r="J31" t="b">
        <v>1</v>
      </c>
      <c r="K31" t="b">
        <v>0</v>
      </c>
      <c r="L31" t="b">
        <v>1</v>
      </c>
      <c r="M31" s="9"/>
      <c r="N31" t="s">
        <v>854</v>
      </c>
      <c r="O31">
        <v>2</v>
      </c>
      <c r="Q31" t="s">
        <v>848</v>
      </c>
      <c r="R31" t="str">
        <f>_xlfn.XLOOKUP(Table_Trailer_Restock[[#This Row],[Location]],Table_Trailer_Location[[Label ]],Table_Trailer_Location[Sort Order],"",0,1)</f>
        <v>C03</v>
      </c>
      <c r="S31">
        <v>7</v>
      </c>
      <c r="T31" t="str">
        <f>_xlfn.CONCAT(Table_Trailer_Restock[[#This Row],[Macro Sort]]," ",Table_Trailer_Restock[[#This Row],[Location]])</f>
        <v>C03 Electrical Fittings</v>
      </c>
      <c r="V31" t="s">
        <v>903</v>
      </c>
      <c r="W31" t="s">
        <v>878</v>
      </c>
      <c r="X31" t="s">
        <v>904</v>
      </c>
    </row>
    <row r="32" spans="1:24" x14ac:dyDescent="0.45">
      <c r="A32">
        <v>21</v>
      </c>
      <c r="B32" t="s">
        <v>72</v>
      </c>
      <c r="E32" t="s">
        <v>40</v>
      </c>
      <c r="F32" s="16" t="s">
        <v>73</v>
      </c>
      <c r="G32" s="16">
        <v>20</v>
      </c>
      <c r="H32" s="16">
        <v>12</v>
      </c>
      <c r="I32" t="s">
        <v>905</v>
      </c>
      <c r="J32" t="b">
        <v>1</v>
      </c>
      <c r="K32" t="b">
        <v>0</v>
      </c>
      <c r="L32" t="b">
        <v>1</v>
      </c>
      <c r="M32" s="9"/>
      <c r="N32" t="s">
        <v>854</v>
      </c>
      <c r="O32">
        <v>8</v>
      </c>
      <c r="P32">
        <v>2</v>
      </c>
      <c r="Q32" t="s">
        <v>848</v>
      </c>
      <c r="R32" t="str">
        <f>_xlfn.XLOOKUP(Table_Trailer_Restock[[#This Row],[Location]],Table_Trailer_Location[[Label ]],Table_Trailer_Location[Sort Order],"",0,1)</f>
        <v>C03</v>
      </c>
      <c r="S32">
        <v>8</v>
      </c>
      <c r="T32" t="str">
        <f>_xlfn.CONCAT(Table_Trailer_Restock[[#This Row],[Macro Sort]]," ",Table_Trailer_Restock[[#This Row],[Location]])</f>
        <v>C03 Electrical Fittings</v>
      </c>
      <c r="V32" t="s">
        <v>906</v>
      </c>
      <c r="W32" t="s">
        <v>878</v>
      </c>
      <c r="X32" t="s">
        <v>907</v>
      </c>
    </row>
    <row r="33" spans="1:24" x14ac:dyDescent="0.45">
      <c r="A33">
        <v>22</v>
      </c>
      <c r="B33" t="s">
        <v>74</v>
      </c>
      <c r="E33" t="s">
        <v>75</v>
      </c>
      <c r="F33" s="16" t="s">
        <v>76</v>
      </c>
      <c r="G33" s="16">
        <v>20</v>
      </c>
      <c r="H33" s="16">
        <v>12</v>
      </c>
      <c r="I33" t="s">
        <v>908</v>
      </c>
      <c r="J33" t="b">
        <v>1</v>
      </c>
      <c r="K33" t="b">
        <v>0</v>
      </c>
      <c r="L33" t="b">
        <v>1</v>
      </c>
      <c r="M33" s="9"/>
      <c r="N33" t="s">
        <v>854</v>
      </c>
      <c r="O33">
        <v>8</v>
      </c>
      <c r="P33">
        <v>2</v>
      </c>
      <c r="Q33" t="s">
        <v>848</v>
      </c>
      <c r="R33" t="str">
        <f>_xlfn.XLOOKUP(Table_Trailer_Restock[[#This Row],[Location]],Table_Trailer_Location[[Label ]],Table_Trailer_Location[Sort Order],"",0,1)</f>
        <v>C03</v>
      </c>
      <c r="S33">
        <v>9</v>
      </c>
      <c r="T33" t="str">
        <f>_xlfn.CONCAT(Table_Trailer_Restock[[#This Row],[Macro Sort]]," ",Table_Trailer_Restock[[#This Row],[Location]])</f>
        <v>C03 Electrical Fittings</v>
      </c>
      <c r="V33" t="s">
        <v>909</v>
      </c>
      <c r="W33" t="s">
        <v>878</v>
      </c>
      <c r="X33" t="s">
        <v>434</v>
      </c>
    </row>
    <row r="34" spans="1:24" x14ac:dyDescent="0.45">
      <c r="A34">
        <v>23</v>
      </c>
      <c r="B34" t="s">
        <v>77</v>
      </c>
      <c r="E34" t="s">
        <v>40</v>
      </c>
      <c r="F34" s="16">
        <v>85399</v>
      </c>
      <c r="G34" s="16">
        <v>20</v>
      </c>
      <c r="H34" s="16">
        <v>12</v>
      </c>
      <c r="I34" t="s">
        <v>910</v>
      </c>
      <c r="J34" t="b">
        <v>1</v>
      </c>
      <c r="K34" t="b">
        <v>0</v>
      </c>
      <c r="L34" t="b">
        <v>1</v>
      </c>
      <c r="M34" s="9"/>
      <c r="N34" t="s">
        <v>854</v>
      </c>
      <c r="O34">
        <v>6</v>
      </c>
      <c r="P34">
        <v>2</v>
      </c>
      <c r="Q34" t="s">
        <v>848</v>
      </c>
      <c r="R34" t="str">
        <f>_xlfn.XLOOKUP(Table_Trailer_Restock[[#This Row],[Location]],Table_Trailer_Location[[Label ]],Table_Trailer_Location[Sort Order],"",0,1)</f>
        <v>C03</v>
      </c>
      <c r="S34">
        <v>10</v>
      </c>
      <c r="T34" t="str">
        <f>_xlfn.CONCAT(Table_Trailer_Restock[[#This Row],[Macro Sort]]," ",Table_Trailer_Restock[[#This Row],[Location]])</f>
        <v>C03 Electrical Fittings</v>
      </c>
      <c r="V34" t="s">
        <v>911</v>
      </c>
      <c r="W34" t="s">
        <v>878</v>
      </c>
      <c r="X34" t="s">
        <v>455</v>
      </c>
    </row>
    <row r="35" spans="1:24" x14ac:dyDescent="0.45">
      <c r="A35">
        <v>24</v>
      </c>
      <c r="B35" t="s">
        <v>79</v>
      </c>
      <c r="E35" t="s">
        <v>40</v>
      </c>
      <c r="F35" s="16">
        <v>902</v>
      </c>
      <c r="G35" s="16">
        <v>20</v>
      </c>
      <c r="H35" s="16">
        <v>12</v>
      </c>
      <c r="I35" t="s">
        <v>912</v>
      </c>
      <c r="J35" t="b">
        <v>1</v>
      </c>
      <c r="K35" t="b">
        <v>0</v>
      </c>
      <c r="L35" t="b">
        <v>1</v>
      </c>
      <c r="M35" s="9"/>
      <c r="N35" t="s">
        <v>854</v>
      </c>
      <c r="O35">
        <v>12</v>
      </c>
      <c r="P35">
        <v>4</v>
      </c>
      <c r="Q35" t="s">
        <v>848</v>
      </c>
      <c r="R35" t="str">
        <f>_xlfn.XLOOKUP(Table_Trailer_Restock[[#This Row],[Location]],Table_Trailer_Location[[Label ]],Table_Trailer_Location[Sort Order],"",0,1)</f>
        <v>C03</v>
      </c>
      <c r="S35">
        <v>11</v>
      </c>
      <c r="T35" t="str">
        <f>_xlfn.CONCAT(Table_Trailer_Restock[[#This Row],[Macro Sort]]," ",Table_Trailer_Restock[[#This Row],[Location]])</f>
        <v>C03 Electrical Fittings</v>
      </c>
      <c r="V35" t="s">
        <v>913</v>
      </c>
      <c r="W35" t="s">
        <v>878</v>
      </c>
      <c r="X35" t="s">
        <v>475</v>
      </c>
    </row>
    <row r="36" spans="1:24" x14ac:dyDescent="0.45">
      <c r="A36">
        <v>25</v>
      </c>
      <c r="B36" t="s">
        <v>81</v>
      </c>
      <c r="E36" t="s">
        <v>40</v>
      </c>
      <c r="F36" s="16">
        <v>901</v>
      </c>
      <c r="G36" s="16">
        <v>20</v>
      </c>
      <c r="H36" s="16">
        <v>12</v>
      </c>
      <c r="I36" t="s">
        <v>914</v>
      </c>
      <c r="J36" t="b">
        <v>1</v>
      </c>
      <c r="K36" t="b">
        <v>0</v>
      </c>
      <c r="L36" t="b">
        <v>1</v>
      </c>
      <c r="M36" s="9"/>
      <c r="N36" t="s">
        <v>854</v>
      </c>
      <c r="O36">
        <v>12</v>
      </c>
      <c r="P36">
        <v>4</v>
      </c>
      <c r="Q36" t="s">
        <v>848</v>
      </c>
      <c r="R36" t="str">
        <f>_xlfn.XLOOKUP(Table_Trailer_Restock[[#This Row],[Location]],Table_Trailer_Location[[Label ]],Table_Trailer_Location[Sort Order],"",0,1)</f>
        <v>C03</v>
      </c>
      <c r="S36">
        <v>12</v>
      </c>
      <c r="T36" t="str">
        <f>_xlfn.CONCAT(Table_Trailer_Restock[[#This Row],[Macro Sort]]," ",Table_Trailer_Restock[[#This Row],[Location]])</f>
        <v>C03 Electrical Fittings</v>
      </c>
      <c r="V36" t="s">
        <v>915</v>
      </c>
      <c r="W36" t="s">
        <v>878</v>
      </c>
      <c r="X36" t="s">
        <v>916</v>
      </c>
    </row>
    <row r="37" spans="1:24" x14ac:dyDescent="0.45">
      <c r="A37">
        <v>26</v>
      </c>
      <c r="B37" t="s">
        <v>83</v>
      </c>
      <c r="E37" t="s">
        <v>40</v>
      </c>
      <c r="F37" s="16">
        <v>905</v>
      </c>
      <c r="G37" s="16">
        <v>10</v>
      </c>
      <c r="H37" s="16">
        <v>8</v>
      </c>
      <c r="I37" t="s">
        <v>917</v>
      </c>
      <c r="J37" t="b">
        <v>1</v>
      </c>
      <c r="K37" t="b">
        <v>0</v>
      </c>
      <c r="L37" t="b">
        <v>1</v>
      </c>
      <c r="M37" s="9"/>
      <c r="N37" t="s">
        <v>854</v>
      </c>
      <c r="O37">
        <v>6</v>
      </c>
      <c r="P37">
        <v>2</v>
      </c>
      <c r="Q37" t="s">
        <v>848</v>
      </c>
      <c r="R37" t="str">
        <f>_xlfn.XLOOKUP(Table_Trailer_Restock[[#This Row],[Location]],Table_Trailer_Location[[Label ]],Table_Trailer_Location[Sort Order],"",0,1)</f>
        <v>C03</v>
      </c>
      <c r="S37">
        <v>13</v>
      </c>
      <c r="T37" t="str">
        <f>_xlfn.CONCAT(Table_Trailer_Restock[[#This Row],[Macro Sort]]," ",Table_Trailer_Restock[[#This Row],[Location]])</f>
        <v>C03 Electrical Fittings</v>
      </c>
      <c r="V37" t="s">
        <v>918</v>
      </c>
      <c r="W37" t="s">
        <v>878</v>
      </c>
      <c r="X37" t="s">
        <v>919</v>
      </c>
    </row>
    <row r="38" spans="1:24" x14ac:dyDescent="0.45">
      <c r="A38">
        <v>27</v>
      </c>
      <c r="B38" t="s">
        <v>85</v>
      </c>
      <c r="E38" t="s">
        <v>29</v>
      </c>
      <c r="F38" s="16">
        <v>234633</v>
      </c>
      <c r="G38" s="16" t="s">
        <v>89</v>
      </c>
      <c r="H38" s="16" t="s">
        <v>89</v>
      </c>
      <c r="I38" t="s">
        <v>920</v>
      </c>
      <c r="J38" t="b">
        <v>1</v>
      </c>
      <c r="K38" t="b">
        <v>0</v>
      </c>
      <c r="L38" t="b">
        <v>1</v>
      </c>
      <c r="M38" s="9"/>
      <c r="N38" t="s">
        <v>87</v>
      </c>
      <c r="O38" t="s">
        <v>868</v>
      </c>
      <c r="P38" t="s">
        <v>885</v>
      </c>
      <c r="Q38" t="s">
        <v>870</v>
      </c>
      <c r="R38" t="str">
        <f>_xlfn.XLOOKUP(Table_Trailer_Restock[[#This Row],[Location]],Table_Trailer_Location[[Label ]],Table_Trailer_Location[Sort Order],"",0,1)</f>
        <v>C01</v>
      </c>
      <c r="S38">
        <v>1</v>
      </c>
      <c r="T38" t="str">
        <f>_xlfn.CONCAT(Table_Trailer_Restock[[#This Row],[Macro Sort]]," ",Table_Trailer_Restock[[#This Row],[Location]])</f>
        <v>C01 Fasteners</v>
      </c>
      <c r="V38" t="s">
        <v>921</v>
      </c>
      <c r="W38" t="s">
        <v>878</v>
      </c>
      <c r="X38" t="s">
        <v>594</v>
      </c>
    </row>
    <row r="39" spans="1:24" x14ac:dyDescent="0.45">
      <c r="A39">
        <v>28</v>
      </c>
      <c r="B39" t="s">
        <v>91</v>
      </c>
      <c r="E39" t="s">
        <v>29</v>
      </c>
      <c r="F39" s="16">
        <v>367827</v>
      </c>
      <c r="G39" s="16" t="s">
        <v>89</v>
      </c>
      <c r="H39" s="16" t="s">
        <v>89</v>
      </c>
      <c r="I39" t="s">
        <v>922</v>
      </c>
      <c r="J39" t="b">
        <v>1</v>
      </c>
      <c r="K39" t="b">
        <v>0</v>
      </c>
      <c r="L39" t="b">
        <v>1</v>
      </c>
      <c r="M39" s="9"/>
      <c r="N39" t="s">
        <v>87</v>
      </c>
      <c r="O39" t="s">
        <v>868</v>
      </c>
      <c r="P39" t="s">
        <v>885</v>
      </c>
      <c r="Q39" t="s">
        <v>870</v>
      </c>
      <c r="R39" t="str">
        <f>_xlfn.XLOOKUP(Table_Trailer_Restock[[#This Row],[Location]],Table_Trailer_Location[[Label ]],Table_Trailer_Location[Sort Order],"",0,1)</f>
        <v>C01</v>
      </c>
      <c r="S39">
        <v>2</v>
      </c>
      <c r="T39" t="str">
        <f>_xlfn.CONCAT(Table_Trailer_Restock[[#This Row],[Macro Sort]]," ",Table_Trailer_Restock[[#This Row],[Location]])</f>
        <v>C01 Fasteners</v>
      </c>
      <c r="V39" t="s">
        <v>923</v>
      </c>
      <c r="W39" t="s">
        <v>878</v>
      </c>
      <c r="X39" t="s">
        <v>619</v>
      </c>
    </row>
    <row r="40" spans="1:24" x14ac:dyDescent="0.45">
      <c r="A40">
        <v>29</v>
      </c>
      <c r="B40" t="s">
        <v>93</v>
      </c>
      <c r="E40" t="s">
        <v>29</v>
      </c>
      <c r="F40" s="16">
        <v>1006213462</v>
      </c>
      <c r="G40" s="16" t="s">
        <v>89</v>
      </c>
      <c r="H40" s="16" t="s">
        <v>89</v>
      </c>
      <c r="I40" t="s">
        <v>924</v>
      </c>
      <c r="J40" t="b">
        <v>1</v>
      </c>
      <c r="K40" t="b">
        <v>0</v>
      </c>
      <c r="L40" t="b">
        <v>1</v>
      </c>
      <c r="M40" s="9"/>
      <c r="N40" t="s">
        <v>87</v>
      </c>
      <c r="O40" t="s">
        <v>868</v>
      </c>
      <c r="P40" t="s">
        <v>885</v>
      </c>
      <c r="Q40" t="s">
        <v>870</v>
      </c>
      <c r="R40" t="str">
        <f>_xlfn.XLOOKUP(Table_Trailer_Restock[[#This Row],[Location]],Table_Trailer_Location[[Label ]],Table_Trailer_Location[Sort Order],"",0,1)</f>
        <v>C01</v>
      </c>
      <c r="S40">
        <v>3</v>
      </c>
      <c r="T40" t="str">
        <f>_xlfn.CONCAT(Table_Trailer_Restock[[#This Row],[Macro Sort]]," ",Table_Trailer_Restock[[#This Row],[Location]])</f>
        <v>C01 Fasteners</v>
      </c>
      <c r="V40" t="s">
        <v>925</v>
      </c>
      <c r="W40" t="s">
        <v>878</v>
      </c>
      <c r="X40" t="s">
        <v>641</v>
      </c>
    </row>
    <row r="41" spans="1:24" x14ac:dyDescent="0.45">
      <c r="A41">
        <v>30</v>
      </c>
      <c r="B41" t="s">
        <v>95</v>
      </c>
      <c r="E41" t="s">
        <v>29</v>
      </c>
      <c r="F41" s="16">
        <v>459976</v>
      </c>
      <c r="G41" s="16" t="s">
        <v>96</v>
      </c>
      <c r="H41" s="16" t="s">
        <v>96</v>
      </c>
      <c r="I41" t="s">
        <v>926</v>
      </c>
      <c r="J41" t="b">
        <v>1</v>
      </c>
      <c r="K41" t="b">
        <v>0</v>
      </c>
      <c r="L41" t="b">
        <v>1</v>
      </c>
      <c r="M41" s="9"/>
      <c r="N41" t="s">
        <v>87</v>
      </c>
      <c r="O41" t="s">
        <v>868</v>
      </c>
      <c r="P41" t="s">
        <v>885</v>
      </c>
      <c r="Q41" t="s">
        <v>870</v>
      </c>
      <c r="R41" t="str">
        <f>_xlfn.XLOOKUP(Table_Trailer_Restock[[#This Row],[Location]],Table_Trailer_Location[[Label ]],Table_Trailer_Location[Sort Order],"",0,1)</f>
        <v>C01</v>
      </c>
      <c r="S41">
        <v>4</v>
      </c>
      <c r="T41" t="str">
        <f>_xlfn.CONCAT(Table_Trailer_Restock[[#This Row],[Macro Sort]]," ",Table_Trailer_Restock[[#This Row],[Location]])</f>
        <v>C01 Fasteners</v>
      </c>
    </row>
    <row r="42" spans="1:24" x14ac:dyDescent="0.45">
      <c r="A42">
        <v>31</v>
      </c>
      <c r="B42" t="s">
        <v>97</v>
      </c>
      <c r="E42" t="s">
        <v>29</v>
      </c>
      <c r="F42" s="16">
        <v>161702</v>
      </c>
      <c r="G42" s="16" t="s">
        <v>96</v>
      </c>
      <c r="H42" s="16" t="s">
        <v>96</v>
      </c>
      <c r="I42" t="s">
        <v>927</v>
      </c>
      <c r="J42" t="b">
        <v>1</v>
      </c>
      <c r="K42" t="b">
        <v>0</v>
      </c>
      <c r="L42" t="b">
        <v>1</v>
      </c>
      <c r="M42" s="9"/>
      <c r="N42" t="s">
        <v>87</v>
      </c>
      <c r="O42" t="s">
        <v>868</v>
      </c>
      <c r="P42" t="s">
        <v>885</v>
      </c>
      <c r="Q42" t="s">
        <v>870</v>
      </c>
      <c r="R42" t="str">
        <f>_xlfn.XLOOKUP(Table_Trailer_Restock[[#This Row],[Location]],Table_Trailer_Location[[Label ]],Table_Trailer_Location[Sort Order],"",0,1)</f>
        <v>C01</v>
      </c>
      <c r="S42">
        <v>5</v>
      </c>
      <c r="T42" t="str">
        <f>_xlfn.CONCAT(Table_Trailer_Restock[[#This Row],[Macro Sort]]," ",Table_Trailer_Restock[[#This Row],[Location]])</f>
        <v>C01 Fasteners</v>
      </c>
    </row>
    <row r="43" spans="1:24" x14ac:dyDescent="0.45">
      <c r="A43">
        <v>32</v>
      </c>
      <c r="B43" t="s">
        <v>99</v>
      </c>
      <c r="E43" t="s">
        <v>101</v>
      </c>
      <c r="F43" s="16" t="s">
        <v>102</v>
      </c>
      <c r="G43" s="16" t="s">
        <v>103</v>
      </c>
      <c r="H43" s="16" t="s">
        <v>104</v>
      </c>
      <c r="I43" t="s">
        <v>928</v>
      </c>
      <c r="J43" t="b">
        <v>1</v>
      </c>
      <c r="K43" t="b">
        <v>0</v>
      </c>
      <c r="L43" t="b">
        <v>1</v>
      </c>
      <c r="M43" s="9"/>
      <c r="N43" t="s">
        <v>87</v>
      </c>
      <c r="O43" t="s">
        <v>868</v>
      </c>
      <c r="P43" t="s">
        <v>885</v>
      </c>
      <c r="Q43" t="s">
        <v>870</v>
      </c>
      <c r="R43" t="str">
        <f>_xlfn.XLOOKUP(Table_Trailer_Restock[[#This Row],[Location]],Table_Trailer_Location[[Label ]],Table_Trailer_Location[Sort Order],"",0,1)</f>
        <v>C01</v>
      </c>
      <c r="S43">
        <v>6</v>
      </c>
      <c r="T43" t="str">
        <f>_xlfn.CONCAT(Table_Trailer_Restock[[#This Row],[Macro Sort]]," ",Table_Trailer_Restock[[#This Row],[Location]])</f>
        <v>C01 Fasteners</v>
      </c>
    </row>
    <row r="44" spans="1:24" x14ac:dyDescent="0.45">
      <c r="A44">
        <v>33</v>
      </c>
      <c r="B44" t="s">
        <v>105</v>
      </c>
      <c r="E44" t="s">
        <v>101</v>
      </c>
      <c r="F44" s="16" t="s">
        <v>107</v>
      </c>
      <c r="G44" s="16" t="s">
        <v>108</v>
      </c>
      <c r="H44" s="16" t="s">
        <v>104</v>
      </c>
      <c r="I44" t="s">
        <v>929</v>
      </c>
      <c r="J44" t="b">
        <v>1</v>
      </c>
      <c r="K44" t="b">
        <v>0</v>
      </c>
      <c r="L44" t="b">
        <v>1</v>
      </c>
      <c r="M44" s="9"/>
      <c r="N44" t="s">
        <v>87</v>
      </c>
      <c r="O44" t="s">
        <v>868</v>
      </c>
      <c r="P44" t="s">
        <v>885</v>
      </c>
      <c r="Q44" t="s">
        <v>870</v>
      </c>
      <c r="R44" t="str">
        <f>_xlfn.XLOOKUP(Table_Trailer_Restock[[#This Row],[Location]],Table_Trailer_Location[[Label ]],Table_Trailer_Location[Sort Order],"",0,1)</f>
        <v>C01</v>
      </c>
      <c r="S44">
        <v>7</v>
      </c>
      <c r="T44" t="str">
        <f>_xlfn.CONCAT(Table_Trailer_Restock[[#This Row],[Macro Sort]]," ",Table_Trailer_Restock[[#This Row],[Location]])</f>
        <v>C01 Fasteners</v>
      </c>
    </row>
    <row r="45" spans="1:24" x14ac:dyDescent="0.45">
      <c r="A45">
        <v>34</v>
      </c>
      <c r="B45" t="s">
        <v>109</v>
      </c>
      <c r="E45" t="s">
        <v>101</v>
      </c>
      <c r="F45" s="16" t="s">
        <v>111</v>
      </c>
      <c r="G45" s="16" t="s">
        <v>112</v>
      </c>
      <c r="H45" s="16" t="s">
        <v>104</v>
      </c>
      <c r="I45" t="s">
        <v>930</v>
      </c>
      <c r="J45" t="b">
        <v>1</v>
      </c>
      <c r="K45" t="b">
        <v>0</v>
      </c>
      <c r="L45" t="b">
        <v>1</v>
      </c>
      <c r="M45" s="9"/>
      <c r="N45" t="s">
        <v>87</v>
      </c>
      <c r="O45" t="s">
        <v>868</v>
      </c>
      <c r="P45" t="s">
        <v>885</v>
      </c>
      <c r="Q45" t="s">
        <v>870</v>
      </c>
      <c r="R45" t="str">
        <f>_xlfn.XLOOKUP(Table_Trailer_Restock[[#This Row],[Location]],Table_Trailer_Location[[Label ]],Table_Trailer_Location[Sort Order],"",0,1)</f>
        <v>C01</v>
      </c>
      <c r="S45">
        <v>8</v>
      </c>
      <c r="T45" t="str">
        <f>_xlfn.CONCAT(Table_Trailer_Restock[[#This Row],[Macro Sort]]," ",Table_Trailer_Restock[[#This Row],[Location]])</f>
        <v>C01 Fasteners</v>
      </c>
    </row>
    <row r="46" spans="1:24" x14ac:dyDescent="0.45">
      <c r="A46">
        <v>35</v>
      </c>
      <c r="B46" t="s">
        <v>113</v>
      </c>
      <c r="E46" t="s">
        <v>29</v>
      </c>
      <c r="F46" s="16">
        <v>459826</v>
      </c>
      <c r="G46" s="16" t="s">
        <v>115</v>
      </c>
      <c r="H46" s="16" t="s">
        <v>116</v>
      </c>
      <c r="I46" t="s">
        <v>931</v>
      </c>
      <c r="J46" t="b">
        <v>1</v>
      </c>
      <c r="K46" t="b">
        <v>0</v>
      </c>
      <c r="L46" t="b">
        <v>1</v>
      </c>
      <c r="M46" s="9"/>
      <c r="N46" t="s">
        <v>87</v>
      </c>
      <c r="O46" t="s">
        <v>885</v>
      </c>
      <c r="P46">
        <v>10</v>
      </c>
      <c r="Q46" t="s">
        <v>870</v>
      </c>
      <c r="R46" t="str">
        <f>_xlfn.XLOOKUP(Table_Trailer_Restock[[#This Row],[Location]],Table_Trailer_Location[[Label ]],Table_Trailer_Location[Sort Order],"",0,1)</f>
        <v>C01</v>
      </c>
      <c r="S46">
        <v>9</v>
      </c>
      <c r="T46" t="str">
        <f>_xlfn.CONCAT(Table_Trailer_Restock[[#This Row],[Macro Sort]]," ",Table_Trailer_Restock[[#This Row],[Location]])</f>
        <v>C01 Fasteners</v>
      </c>
    </row>
    <row r="47" spans="1:24" x14ac:dyDescent="0.45">
      <c r="A47">
        <v>36</v>
      </c>
      <c r="B47" t="s">
        <v>117</v>
      </c>
      <c r="E47" t="s">
        <v>29</v>
      </c>
      <c r="F47" s="16">
        <v>482425</v>
      </c>
      <c r="G47" s="16" t="s">
        <v>120</v>
      </c>
      <c r="H47" s="16" t="s">
        <v>121</v>
      </c>
      <c r="I47" t="s">
        <v>932</v>
      </c>
      <c r="J47" t="b">
        <v>1</v>
      </c>
      <c r="K47" t="b">
        <v>0</v>
      </c>
      <c r="L47" t="b">
        <v>1</v>
      </c>
      <c r="M47" s="9"/>
      <c r="N47" t="s">
        <v>118</v>
      </c>
      <c r="O47">
        <v>200</v>
      </c>
      <c r="P47">
        <v>50</v>
      </c>
      <c r="Q47" t="s">
        <v>848</v>
      </c>
      <c r="R47" t="str">
        <f>_xlfn.XLOOKUP(Table_Trailer_Restock[[#This Row],[Location]],Table_Trailer_Location[[Label ]],Table_Trailer_Location[Sort Order],"",0,1)</f>
        <v>C05</v>
      </c>
      <c r="S47">
        <v>1</v>
      </c>
      <c r="T47" t="str">
        <f>_xlfn.CONCAT(Table_Trailer_Restock[[#This Row],[Macro Sort]]," ",Table_Trailer_Restock[[#This Row],[Location]])</f>
        <v>C05 Low Voltage</v>
      </c>
    </row>
    <row r="48" spans="1:24" x14ac:dyDescent="0.45">
      <c r="A48">
        <v>37</v>
      </c>
      <c r="B48" t="s">
        <v>123</v>
      </c>
      <c r="E48" t="s">
        <v>29</v>
      </c>
      <c r="F48" s="16">
        <v>307195</v>
      </c>
      <c r="G48" s="16" t="s">
        <v>120</v>
      </c>
      <c r="H48" s="16" t="s">
        <v>121</v>
      </c>
      <c r="I48" t="s">
        <v>933</v>
      </c>
      <c r="J48" t="b">
        <v>1</v>
      </c>
      <c r="K48" t="b">
        <v>0</v>
      </c>
      <c r="L48" t="b">
        <v>1</v>
      </c>
      <c r="M48" s="9"/>
      <c r="N48" t="s">
        <v>118</v>
      </c>
      <c r="O48">
        <v>200</v>
      </c>
      <c r="P48">
        <v>50</v>
      </c>
      <c r="Q48" t="s">
        <v>848</v>
      </c>
      <c r="R48" t="str">
        <f>_xlfn.XLOOKUP(Table_Trailer_Restock[[#This Row],[Location]],Table_Trailer_Location[[Label ]],Table_Trailer_Location[Sort Order],"",0,1)</f>
        <v>C05</v>
      </c>
      <c r="S48">
        <v>2</v>
      </c>
      <c r="T48" t="str">
        <f>_xlfn.CONCAT(Table_Trailer_Restock[[#This Row],[Macro Sort]]," ",Table_Trailer_Restock[[#This Row],[Location]])</f>
        <v>C05 Low Voltage</v>
      </c>
    </row>
    <row r="49" spans="1:20" x14ac:dyDescent="0.45">
      <c r="A49">
        <v>38</v>
      </c>
      <c r="B49" t="s">
        <v>125</v>
      </c>
      <c r="E49" t="s">
        <v>29</v>
      </c>
      <c r="F49" s="16" t="s">
        <v>127</v>
      </c>
      <c r="G49" s="16" t="s">
        <v>128</v>
      </c>
      <c r="H49" s="16" t="s">
        <v>128</v>
      </c>
      <c r="I49" t="s">
        <v>934</v>
      </c>
      <c r="J49" t="b">
        <v>1</v>
      </c>
      <c r="K49" t="b">
        <v>0</v>
      </c>
      <c r="L49" t="b">
        <v>1</v>
      </c>
      <c r="M49" s="9"/>
      <c r="N49" t="s">
        <v>118</v>
      </c>
      <c r="O49">
        <v>2</v>
      </c>
      <c r="P49">
        <v>1</v>
      </c>
      <c r="Q49" t="s">
        <v>848</v>
      </c>
      <c r="R49" t="str">
        <f>_xlfn.XLOOKUP(Table_Trailer_Restock[[#This Row],[Location]],Table_Trailer_Location[[Label ]],Table_Trailer_Location[Sort Order],"",0,1)</f>
        <v>C05</v>
      </c>
      <c r="S49">
        <v>3</v>
      </c>
      <c r="T49" t="str">
        <f>_xlfn.CONCAT(Table_Trailer_Restock[[#This Row],[Macro Sort]]," ",Table_Trailer_Restock[[#This Row],[Location]])</f>
        <v>C05 Low Voltage</v>
      </c>
    </row>
    <row r="50" spans="1:20" x14ac:dyDescent="0.45">
      <c r="A50">
        <v>39</v>
      </c>
      <c r="B50" t="s">
        <v>129</v>
      </c>
      <c r="E50" t="s">
        <v>101</v>
      </c>
      <c r="F50" s="16" t="s">
        <v>130</v>
      </c>
      <c r="G50" s="16">
        <v>50</v>
      </c>
      <c r="H50" s="16">
        <v>20</v>
      </c>
      <c r="I50" t="s">
        <v>935</v>
      </c>
      <c r="J50" t="b">
        <v>1</v>
      </c>
      <c r="K50" t="b">
        <v>0</v>
      </c>
      <c r="L50" t="b">
        <v>1</v>
      </c>
      <c r="M50" s="9"/>
      <c r="N50" t="s">
        <v>118</v>
      </c>
      <c r="O50">
        <v>20</v>
      </c>
      <c r="P50">
        <v>10</v>
      </c>
      <c r="Q50" t="s">
        <v>848</v>
      </c>
      <c r="R50" t="str">
        <f>_xlfn.XLOOKUP(Table_Trailer_Restock[[#This Row],[Location]],Table_Trailer_Location[[Label ]],Table_Trailer_Location[Sort Order],"",0,1)</f>
        <v>C05</v>
      </c>
      <c r="S50">
        <v>4</v>
      </c>
      <c r="T50" t="str">
        <f>_xlfn.CONCAT(Table_Trailer_Restock[[#This Row],[Macro Sort]]," ",Table_Trailer_Restock[[#This Row],[Location]])</f>
        <v>C05 Low Voltage</v>
      </c>
    </row>
    <row r="51" spans="1:20" x14ac:dyDescent="0.45">
      <c r="A51">
        <v>40</v>
      </c>
      <c r="B51" t="s">
        <v>131</v>
      </c>
      <c r="E51" t="s">
        <v>29</v>
      </c>
      <c r="F51" s="16">
        <v>296167</v>
      </c>
      <c r="G51" s="16">
        <v>100</v>
      </c>
      <c r="H51" s="16">
        <v>20</v>
      </c>
      <c r="I51" t="s">
        <v>936</v>
      </c>
      <c r="J51" t="b">
        <v>1</v>
      </c>
      <c r="K51" t="b">
        <v>0</v>
      </c>
      <c r="L51" t="b">
        <v>1</v>
      </c>
      <c r="M51" s="9"/>
      <c r="N51" t="s">
        <v>118</v>
      </c>
      <c r="O51" t="s">
        <v>885</v>
      </c>
      <c r="P51">
        <v>10</v>
      </c>
      <c r="Q51" t="s">
        <v>870</v>
      </c>
      <c r="R51" t="str">
        <f>_xlfn.XLOOKUP(Table_Trailer_Restock[[#This Row],[Location]],Table_Trailer_Location[[Label ]],Table_Trailer_Location[Sort Order],"",0,1)</f>
        <v>C05</v>
      </c>
      <c r="S51">
        <v>5</v>
      </c>
      <c r="T51" t="str">
        <f>_xlfn.CONCAT(Table_Trailer_Restock[[#This Row],[Macro Sort]]," ",Table_Trailer_Restock[[#This Row],[Location]])</f>
        <v>C05 Low Voltage</v>
      </c>
    </row>
    <row r="52" spans="1:20" x14ac:dyDescent="0.45">
      <c r="A52">
        <v>41</v>
      </c>
      <c r="B52" t="s">
        <v>133</v>
      </c>
      <c r="E52" t="s">
        <v>40</v>
      </c>
      <c r="F52" s="16" t="s">
        <v>136</v>
      </c>
      <c r="G52" s="16">
        <v>4</v>
      </c>
      <c r="H52" s="16">
        <v>4</v>
      </c>
      <c r="I52" t="s">
        <v>937</v>
      </c>
      <c r="J52" t="b">
        <v>1</v>
      </c>
      <c r="K52" t="b">
        <v>0</v>
      </c>
      <c r="L52" t="b">
        <v>1</v>
      </c>
      <c r="M52" s="9"/>
      <c r="N52" t="s">
        <v>134</v>
      </c>
      <c r="O52">
        <v>2</v>
      </c>
      <c r="Q52" t="s">
        <v>848</v>
      </c>
      <c r="R52" t="str">
        <f>_xlfn.XLOOKUP(Table_Trailer_Restock[[#This Row],[Location]],Table_Trailer_Location[[Label ]],Table_Trailer_Location[Sort Order],"",0,1)</f>
        <v>C06</v>
      </c>
      <c r="S52">
        <v>1</v>
      </c>
      <c r="T52" t="str">
        <f>_xlfn.CONCAT(Table_Trailer_Restock[[#This Row],[Macro Sort]]," ",Table_Trailer_Restock[[#This Row],[Location]])</f>
        <v>C06 PEX</v>
      </c>
    </row>
    <row r="53" spans="1:20" x14ac:dyDescent="0.45">
      <c r="A53">
        <v>42</v>
      </c>
      <c r="B53" t="s">
        <v>137</v>
      </c>
      <c r="E53" t="s">
        <v>40</v>
      </c>
      <c r="F53" s="16" t="s">
        <v>138</v>
      </c>
      <c r="G53" s="16" t="s">
        <v>139</v>
      </c>
      <c r="H53" s="16" t="s">
        <v>139</v>
      </c>
      <c r="I53" t="s">
        <v>938</v>
      </c>
      <c r="J53" t="b">
        <v>1</v>
      </c>
      <c r="K53" t="b">
        <v>0</v>
      </c>
      <c r="L53" t="b">
        <v>1</v>
      </c>
      <c r="M53" s="9"/>
      <c r="N53" t="s">
        <v>134</v>
      </c>
      <c r="O53" t="s">
        <v>891</v>
      </c>
      <c r="P53" t="s">
        <v>885</v>
      </c>
      <c r="Q53" t="s">
        <v>870</v>
      </c>
      <c r="R53" t="str">
        <f>_xlfn.XLOOKUP(Table_Trailer_Restock[[#This Row],[Location]],Table_Trailer_Location[[Label ]],Table_Trailer_Location[Sort Order],"",0,1)</f>
        <v>C06</v>
      </c>
      <c r="S53">
        <v>2</v>
      </c>
      <c r="T53" t="str">
        <f>_xlfn.CONCAT(Table_Trailer_Restock[[#This Row],[Macro Sort]]," ",Table_Trailer_Restock[[#This Row],[Location]])</f>
        <v>C06 PEX</v>
      </c>
    </row>
    <row r="54" spans="1:20" x14ac:dyDescent="0.45">
      <c r="A54">
        <v>43</v>
      </c>
      <c r="B54" t="s">
        <v>140</v>
      </c>
      <c r="E54" t="s">
        <v>40</v>
      </c>
      <c r="F54" s="16" t="s">
        <v>141</v>
      </c>
      <c r="G54" s="16" t="s">
        <v>139</v>
      </c>
      <c r="H54" s="16" t="s">
        <v>139</v>
      </c>
      <c r="I54" t="s">
        <v>939</v>
      </c>
      <c r="J54" t="b">
        <v>1</v>
      </c>
      <c r="K54" t="b">
        <v>0</v>
      </c>
      <c r="L54" t="b">
        <v>1</v>
      </c>
      <c r="M54" s="9"/>
      <c r="N54" t="s">
        <v>134</v>
      </c>
      <c r="O54" t="s">
        <v>885</v>
      </c>
      <c r="P54">
        <v>10</v>
      </c>
      <c r="Q54" t="s">
        <v>870</v>
      </c>
      <c r="R54" t="str">
        <f>_xlfn.XLOOKUP(Table_Trailer_Restock[[#This Row],[Location]],Table_Trailer_Location[[Label ]],Table_Trailer_Location[Sort Order],"",0,1)</f>
        <v>C06</v>
      </c>
      <c r="S54">
        <v>3</v>
      </c>
      <c r="T54" t="str">
        <f>_xlfn.CONCAT(Table_Trailer_Restock[[#This Row],[Macro Sort]]," ",Table_Trailer_Restock[[#This Row],[Location]])</f>
        <v>C06 PEX</v>
      </c>
    </row>
    <row r="55" spans="1:20" x14ac:dyDescent="0.45">
      <c r="A55">
        <v>44</v>
      </c>
      <c r="B55" t="s">
        <v>142</v>
      </c>
      <c r="E55" t="s">
        <v>40</v>
      </c>
      <c r="F55" s="16" t="s">
        <v>143</v>
      </c>
      <c r="G55" s="16">
        <v>4</v>
      </c>
      <c r="H55" s="16">
        <v>4</v>
      </c>
      <c r="I55" t="s">
        <v>940</v>
      </c>
      <c r="J55" t="b">
        <v>1</v>
      </c>
      <c r="K55" t="b">
        <v>0</v>
      </c>
      <c r="L55" t="b">
        <v>1</v>
      </c>
      <c r="M55" s="9"/>
      <c r="N55" t="s">
        <v>134</v>
      </c>
      <c r="O55">
        <v>2</v>
      </c>
      <c r="Q55" t="s">
        <v>848</v>
      </c>
      <c r="R55" t="str">
        <f>_xlfn.XLOOKUP(Table_Trailer_Restock[[#This Row],[Location]],Table_Trailer_Location[[Label ]],Table_Trailer_Location[Sort Order],"",0,1)</f>
        <v>C06</v>
      </c>
      <c r="S55">
        <v>4</v>
      </c>
      <c r="T55" t="str">
        <f>_xlfn.CONCAT(Table_Trailer_Restock[[#This Row],[Macro Sort]]," ",Table_Trailer_Restock[[#This Row],[Location]])</f>
        <v>C06 PEX</v>
      </c>
    </row>
    <row r="56" spans="1:20" x14ac:dyDescent="0.45">
      <c r="A56">
        <v>45</v>
      </c>
      <c r="B56" t="s">
        <v>144</v>
      </c>
      <c r="E56" t="s">
        <v>40</v>
      </c>
      <c r="F56" s="16" t="s">
        <v>146</v>
      </c>
      <c r="G56" s="16" t="s">
        <v>147</v>
      </c>
      <c r="H56" s="16" t="s">
        <v>147</v>
      </c>
      <c r="I56" t="s">
        <v>941</v>
      </c>
      <c r="J56" t="b">
        <v>1</v>
      </c>
      <c r="K56" t="b">
        <v>0</v>
      </c>
      <c r="L56" t="b">
        <v>1</v>
      </c>
      <c r="M56" s="9"/>
      <c r="N56" t="s">
        <v>134</v>
      </c>
      <c r="O56" t="s">
        <v>891</v>
      </c>
      <c r="P56" t="s">
        <v>885</v>
      </c>
      <c r="Q56" t="s">
        <v>870</v>
      </c>
      <c r="R56" t="str">
        <f>_xlfn.XLOOKUP(Table_Trailer_Restock[[#This Row],[Location]],Table_Trailer_Location[[Label ]],Table_Trailer_Location[Sort Order],"",0,1)</f>
        <v>C06</v>
      </c>
      <c r="S56">
        <v>5</v>
      </c>
      <c r="T56" t="str">
        <f>_xlfn.CONCAT(Table_Trailer_Restock[[#This Row],[Macro Sort]]," ",Table_Trailer_Restock[[#This Row],[Location]])</f>
        <v>C06 PEX</v>
      </c>
    </row>
    <row r="57" spans="1:20" x14ac:dyDescent="0.45">
      <c r="A57">
        <v>46</v>
      </c>
      <c r="B57" t="s">
        <v>148</v>
      </c>
      <c r="E57" t="s">
        <v>40</v>
      </c>
      <c r="F57" s="16" t="s">
        <v>149</v>
      </c>
      <c r="G57" s="16" t="s">
        <v>139</v>
      </c>
      <c r="H57" s="16" t="s">
        <v>139</v>
      </c>
      <c r="I57" t="s">
        <v>942</v>
      </c>
      <c r="J57" t="b">
        <v>1</v>
      </c>
      <c r="K57" t="b">
        <v>0</v>
      </c>
      <c r="L57" t="b">
        <v>1</v>
      </c>
      <c r="M57" s="9"/>
      <c r="N57" t="s">
        <v>134</v>
      </c>
      <c r="O57" t="s">
        <v>885</v>
      </c>
      <c r="P57">
        <v>10</v>
      </c>
      <c r="Q57" t="s">
        <v>870</v>
      </c>
      <c r="R57" t="str">
        <f>_xlfn.XLOOKUP(Table_Trailer_Restock[[#This Row],[Location]],Table_Trailer_Location[[Label ]],Table_Trailer_Location[Sort Order],"",0,1)</f>
        <v>C06</v>
      </c>
      <c r="S57">
        <v>6</v>
      </c>
      <c r="T57" t="str">
        <f>_xlfn.CONCAT(Table_Trailer_Restock[[#This Row],[Macro Sort]]," ",Table_Trailer_Restock[[#This Row],[Location]])</f>
        <v>C06 PEX</v>
      </c>
    </row>
    <row r="58" spans="1:20" x14ac:dyDescent="0.45">
      <c r="A58">
        <v>47</v>
      </c>
      <c r="B58" t="s">
        <v>150</v>
      </c>
      <c r="E58" t="s">
        <v>40</v>
      </c>
      <c r="F58" s="16" t="s">
        <v>152</v>
      </c>
      <c r="G58" s="16">
        <v>3</v>
      </c>
      <c r="H58" s="16">
        <v>3</v>
      </c>
      <c r="I58" t="s">
        <v>943</v>
      </c>
      <c r="J58" t="b">
        <v>1</v>
      </c>
      <c r="K58" t="b">
        <v>0</v>
      </c>
      <c r="L58" t="b">
        <v>1</v>
      </c>
      <c r="M58" s="9"/>
      <c r="N58" t="s">
        <v>134</v>
      </c>
      <c r="O58">
        <v>12</v>
      </c>
      <c r="P58">
        <v>6</v>
      </c>
      <c r="Q58" t="s">
        <v>848</v>
      </c>
      <c r="R58" t="str">
        <f>_xlfn.XLOOKUP(Table_Trailer_Restock[[#This Row],[Location]],Table_Trailer_Location[[Label ]],Table_Trailer_Location[Sort Order],"",0,1)</f>
        <v>C06</v>
      </c>
      <c r="S58">
        <v>7</v>
      </c>
      <c r="T58" t="str">
        <f>_xlfn.CONCAT(Table_Trailer_Restock[[#This Row],[Macro Sort]]," ",Table_Trailer_Restock[[#This Row],[Location]])</f>
        <v>C06 PEX</v>
      </c>
    </row>
    <row r="59" spans="1:20" x14ac:dyDescent="0.45">
      <c r="A59">
        <v>48</v>
      </c>
      <c r="B59" t="s">
        <v>153</v>
      </c>
      <c r="E59" t="s">
        <v>40</v>
      </c>
      <c r="F59" s="16" t="s">
        <v>154</v>
      </c>
      <c r="G59" s="16">
        <v>3</v>
      </c>
      <c r="H59" s="16">
        <v>3</v>
      </c>
      <c r="I59" t="s">
        <v>944</v>
      </c>
      <c r="J59" t="b">
        <v>1</v>
      </c>
      <c r="K59" t="b">
        <v>0</v>
      </c>
      <c r="L59" t="b">
        <v>1</v>
      </c>
      <c r="M59" s="9"/>
      <c r="N59" t="s">
        <v>134</v>
      </c>
      <c r="O59">
        <v>2</v>
      </c>
      <c r="Q59" t="s">
        <v>848</v>
      </c>
      <c r="R59" t="str">
        <f>_xlfn.XLOOKUP(Table_Trailer_Restock[[#This Row],[Location]],Table_Trailer_Location[[Label ]],Table_Trailer_Location[Sort Order],"",0,1)</f>
        <v>C06</v>
      </c>
      <c r="S59">
        <v>8</v>
      </c>
      <c r="T59" t="str">
        <f>_xlfn.CONCAT(Table_Trailer_Restock[[#This Row],[Macro Sort]]," ",Table_Trailer_Restock[[#This Row],[Location]])</f>
        <v>C06 PEX</v>
      </c>
    </row>
    <row r="60" spans="1:20" x14ac:dyDescent="0.45">
      <c r="A60">
        <v>49</v>
      </c>
      <c r="B60" t="s">
        <v>155</v>
      </c>
      <c r="E60" t="s">
        <v>40</v>
      </c>
      <c r="F60" s="16" t="s">
        <v>156</v>
      </c>
      <c r="G60" s="16" t="s">
        <v>147</v>
      </c>
      <c r="H60" s="16" t="s">
        <v>139</v>
      </c>
      <c r="I60" t="s">
        <v>945</v>
      </c>
      <c r="J60" t="b">
        <v>1</v>
      </c>
      <c r="K60" t="b">
        <v>0</v>
      </c>
      <c r="L60" t="b">
        <v>1</v>
      </c>
      <c r="M60" s="9"/>
      <c r="N60" t="s">
        <v>134</v>
      </c>
      <c r="O60" t="s">
        <v>891</v>
      </c>
      <c r="P60" t="s">
        <v>868</v>
      </c>
      <c r="Q60" t="s">
        <v>870</v>
      </c>
      <c r="R60" t="str">
        <f>_xlfn.XLOOKUP(Table_Trailer_Restock[[#This Row],[Location]],Table_Trailer_Location[[Label ]],Table_Trailer_Location[Sort Order],"",0,1)</f>
        <v>C06</v>
      </c>
      <c r="S60">
        <v>9</v>
      </c>
      <c r="T60" t="str">
        <f>_xlfn.CONCAT(Table_Trailer_Restock[[#This Row],[Macro Sort]]," ",Table_Trailer_Restock[[#This Row],[Location]])</f>
        <v>C06 PEX</v>
      </c>
    </row>
    <row r="61" spans="1:20" x14ac:dyDescent="0.45">
      <c r="A61">
        <v>50</v>
      </c>
      <c r="B61" t="s">
        <v>157</v>
      </c>
      <c r="E61" t="s">
        <v>40</v>
      </c>
      <c r="F61" s="16" t="s">
        <v>158</v>
      </c>
      <c r="G61" s="16" t="s">
        <v>139</v>
      </c>
      <c r="H61" s="16" t="s">
        <v>139</v>
      </c>
      <c r="I61" t="s">
        <v>946</v>
      </c>
      <c r="J61" t="b">
        <v>1</v>
      </c>
      <c r="K61" t="b">
        <v>0</v>
      </c>
      <c r="L61" t="b">
        <v>1</v>
      </c>
      <c r="M61" s="9"/>
      <c r="N61" t="s">
        <v>134</v>
      </c>
      <c r="O61" t="s">
        <v>885</v>
      </c>
      <c r="P61">
        <v>10</v>
      </c>
      <c r="Q61" t="s">
        <v>870</v>
      </c>
      <c r="R61" t="str">
        <f>_xlfn.XLOOKUP(Table_Trailer_Restock[[#This Row],[Location]],Table_Trailer_Location[[Label ]],Table_Trailer_Location[Sort Order],"",0,1)</f>
        <v>C06</v>
      </c>
      <c r="S61">
        <v>10</v>
      </c>
      <c r="T61" t="str">
        <f>_xlfn.CONCAT(Table_Trailer_Restock[[#This Row],[Macro Sort]]," ",Table_Trailer_Restock[[#This Row],[Location]])</f>
        <v>C06 PEX</v>
      </c>
    </row>
    <row r="62" spans="1:20" x14ac:dyDescent="0.45">
      <c r="A62">
        <v>51</v>
      </c>
      <c r="B62" t="s">
        <v>159</v>
      </c>
      <c r="E62" t="s">
        <v>40</v>
      </c>
      <c r="F62" s="16" t="s">
        <v>161</v>
      </c>
      <c r="G62" s="16">
        <v>6</v>
      </c>
      <c r="H62" s="16">
        <v>6</v>
      </c>
      <c r="I62" t="s">
        <v>947</v>
      </c>
      <c r="J62" t="b">
        <v>1</v>
      </c>
      <c r="K62" t="b">
        <v>0</v>
      </c>
      <c r="L62" t="b">
        <v>1</v>
      </c>
      <c r="M62" s="9"/>
      <c r="N62" t="s">
        <v>134</v>
      </c>
      <c r="O62">
        <v>2</v>
      </c>
      <c r="Q62" t="s">
        <v>848</v>
      </c>
      <c r="R62" t="str">
        <f>_xlfn.XLOOKUP(Table_Trailer_Restock[[#This Row],[Location]],Table_Trailer_Location[[Label ]],Table_Trailer_Location[Sort Order],"",0,1)</f>
        <v>C06</v>
      </c>
      <c r="S62">
        <v>11</v>
      </c>
      <c r="T62" t="str">
        <f>_xlfn.CONCAT(Table_Trailer_Restock[[#This Row],[Macro Sort]]," ",Table_Trailer_Restock[[#This Row],[Location]])</f>
        <v>C06 PEX</v>
      </c>
    </row>
    <row r="63" spans="1:20" x14ac:dyDescent="0.45">
      <c r="A63">
        <v>52</v>
      </c>
      <c r="B63" t="s">
        <v>162</v>
      </c>
      <c r="E63" t="s">
        <v>40</v>
      </c>
      <c r="F63" s="16" t="s">
        <v>163</v>
      </c>
      <c r="G63" s="16">
        <v>5</v>
      </c>
      <c r="H63" s="16">
        <v>10</v>
      </c>
      <c r="I63" t="s">
        <v>948</v>
      </c>
      <c r="J63" t="b">
        <v>1</v>
      </c>
      <c r="K63" t="b">
        <v>0</v>
      </c>
      <c r="L63" t="b">
        <v>1</v>
      </c>
      <c r="M63" s="9"/>
      <c r="N63" t="s">
        <v>863</v>
      </c>
      <c r="O63">
        <v>12</v>
      </c>
      <c r="P63">
        <v>6</v>
      </c>
      <c r="Q63" t="s">
        <v>848</v>
      </c>
      <c r="R63" t="str">
        <f>_xlfn.XLOOKUP(Table_Trailer_Restock[[#This Row],[Location]],Table_Trailer_Location[[Label ]],Table_Trailer_Location[Sort Order],"",0,1)</f>
        <v>C07</v>
      </c>
      <c r="S63">
        <v>1</v>
      </c>
      <c r="T63" t="str">
        <f>_xlfn.CONCAT(Table_Trailer_Restock[[#This Row],[Macro Sort]]," ",Table_Trailer_Restock[[#This Row],[Location]])</f>
        <v>C07 PEX Fittings</v>
      </c>
    </row>
    <row r="64" spans="1:20" x14ac:dyDescent="0.45">
      <c r="A64">
        <v>53</v>
      </c>
      <c r="B64" t="s">
        <v>164</v>
      </c>
      <c r="E64" t="s">
        <v>40</v>
      </c>
      <c r="F64" s="16" t="s">
        <v>165</v>
      </c>
      <c r="G64" s="16">
        <v>40</v>
      </c>
      <c r="H64" s="16">
        <v>20</v>
      </c>
      <c r="I64" t="s">
        <v>949</v>
      </c>
      <c r="J64" t="b">
        <v>1</v>
      </c>
      <c r="K64" t="b">
        <v>0</v>
      </c>
      <c r="L64" t="b">
        <v>1</v>
      </c>
      <c r="M64" s="9"/>
      <c r="N64" t="s">
        <v>863</v>
      </c>
      <c r="O64">
        <v>20</v>
      </c>
      <c r="P64">
        <v>6</v>
      </c>
      <c r="Q64" t="s">
        <v>848</v>
      </c>
      <c r="R64" t="str">
        <f>_xlfn.XLOOKUP(Table_Trailer_Restock[[#This Row],[Location]],Table_Trailer_Location[[Label ]],Table_Trailer_Location[Sort Order],"",0,1)</f>
        <v>C07</v>
      </c>
      <c r="S64">
        <v>2</v>
      </c>
      <c r="T64" t="str">
        <f>_xlfn.CONCAT(Table_Trailer_Restock[[#This Row],[Macro Sort]]," ",Table_Trailer_Restock[[#This Row],[Location]])</f>
        <v>C07 PEX Fittings</v>
      </c>
    </row>
    <row r="65" spans="1:20" x14ac:dyDescent="0.45">
      <c r="A65">
        <v>54</v>
      </c>
      <c r="B65" t="s">
        <v>166</v>
      </c>
      <c r="E65" t="s">
        <v>40</v>
      </c>
      <c r="F65" s="16" t="s">
        <v>167</v>
      </c>
      <c r="G65" s="16">
        <v>20</v>
      </c>
      <c r="H65" s="16">
        <v>10</v>
      </c>
      <c r="I65" t="s">
        <v>950</v>
      </c>
      <c r="J65" t="b">
        <v>1</v>
      </c>
      <c r="K65" t="b">
        <v>0</v>
      </c>
      <c r="L65" t="b">
        <v>1</v>
      </c>
      <c r="M65" s="9"/>
      <c r="N65" t="s">
        <v>863</v>
      </c>
      <c r="O65">
        <v>20</v>
      </c>
      <c r="P65">
        <v>6</v>
      </c>
      <c r="Q65" t="s">
        <v>848</v>
      </c>
      <c r="R65" t="str">
        <f>_xlfn.XLOOKUP(Table_Trailer_Restock[[#This Row],[Location]],Table_Trailer_Location[[Label ]],Table_Trailer_Location[Sort Order],"",0,1)</f>
        <v>C07</v>
      </c>
      <c r="S65">
        <v>3</v>
      </c>
      <c r="T65" t="str">
        <f>_xlfn.CONCAT(Table_Trailer_Restock[[#This Row],[Macro Sort]]," ",Table_Trailer_Restock[[#This Row],[Location]])</f>
        <v>C07 PEX Fittings</v>
      </c>
    </row>
    <row r="66" spans="1:20" x14ac:dyDescent="0.45">
      <c r="A66">
        <v>55</v>
      </c>
      <c r="B66" t="s">
        <v>168</v>
      </c>
      <c r="E66" t="s">
        <v>40</v>
      </c>
      <c r="F66" s="16" t="s">
        <v>169</v>
      </c>
      <c r="G66" s="16">
        <v>20</v>
      </c>
      <c r="H66" s="16">
        <v>10</v>
      </c>
      <c r="I66" t="s">
        <v>951</v>
      </c>
      <c r="J66" t="b">
        <v>1</v>
      </c>
      <c r="K66" t="b">
        <v>0</v>
      </c>
      <c r="L66" t="b">
        <v>1</v>
      </c>
      <c r="M66" s="9"/>
      <c r="N66" t="s">
        <v>863</v>
      </c>
      <c r="O66">
        <v>6</v>
      </c>
      <c r="P66">
        <v>2</v>
      </c>
      <c r="Q66" t="s">
        <v>848</v>
      </c>
      <c r="R66" t="str">
        <f>_xlfn.XLOOKUP(Table_Trailer_Restock[[#This Row],[Location]],Table_Trailer_Location[[Label ]],Table_Trailer_Location[Sort Order],"",0,1)</f>
        <v>C07</v>
      </c>
      <c r="S66">
        <v>4</v>
      </c>
      <c r="T66" t="str">
        <f>_xlfn.CONCAT(Table_Trailer_Restock[[#This Row],[Macro Sort]]," ",Table_Trailer_Restock[[#This Row],[Location]])</f>
        <v>C07 PEX Fittings</v>
      </c>
    </row>
    <row r="67" spans="1:20" x14ac:dyDescent="0.45">
      <c r="A67">
        <v>56</v>
      </c>
      <c r="B67" t="s">
        <v>170</v>
      </c>
      <c r="E67" t="s">
        <v>40</v>
      </c>
      <c r="F67" s="16" t="s">
        <v>171</v>
      </c>
      <c r="G67" s="16">
        <v>10</v>
      </c>
      <c r="H67" s="16">
        <v>10</v>
      </c>
      <c r="I67" t="s">
        <v>952</v>
      </c>
      <c r="J67" t="b">
        <v>1</v>
      </c>
      <c r="K67" t="b">
        <v>0</v>
      </c>
      <c r="L67" t="b">
        <v>1</v>
      </c>
      <c r="M67" s="9"/>
      <c r="N67" t="s">
        <v>863</v>
      </c>
      <c r="O67">
        <v>8</v>
      </c>
      <c r="P67">
        <v>2</v>
      </c>
      <c r="Q67" t="s">
        <v>848</v>
      </c>
      <c r="R67" t="str">
        <f>_xlfn.XLOOKUP(Table_Trailer_Restock[[#This Row],[Location]],Table_Trailer_Location[[Label ]],Table_Trailer_Location[Sort Order],"",0,1)</f>
        <v>C07</v>
      </c>
      <c r="S67">
        <v>5</v>
      </c>
      <c r="T67" t="str">
        <f>_xlfn.CONCAT(Table_Trailer_Restock[[#This Row],[Macro Sort]]," ",Table_Trailer_Restock[[#This Row],[Location]])</f>
        <v>C07 PEX Fittings</v>
      </c>
    </row>
    <row r="68" spans="1:20" x14ac:dyDescent="0.45">
      <c r="A68">
        <v>57</v>
      </c>
      <c r="B68" t="s">
        <v>172</v>
      </c>
      <c r="E68" t="s">
        <v>40</v>
      </c>
      <c r="F68" s="16" t="s">
        <v>173</v>
      </c>
      <c r="G68" s="16">
        <v>6</v>
      </c>
      <c r="H68" s="16">
        <v>4</v>
      </c>
      <c r="I68" t="s">
        <v>953</v>
      </c>
      <c r="J68" t="b">
        <v>1</v>
      </c>
      <c r="K68" t="b">
        <v>0</v>
      </c>
      <c r="L68" t="b">
        <v>1</v>
      </c>
      <c r="M68" s="9"/>
      <c r="N68" t="s">
        <v>863</v>
      </c>
      <c r="O68">
        <v>2</v>
      </c>
      <c r="P68">
        <v>1</v>
      </c>
      <c r="Q68" t="s">
        <v>848</v>
      </c>
      <c r="R68" t="str">
        <f>_xlfn.XLOOKUP(Table_Trailer_Restock[[#This Row],[Location]],Table_Trailer_Location[[Label ]],Table_Trailer_Location[Sort Order],"",0,1)</f>
        <v>C07</v>
      </c>
      <c r="S68">
        <v>6</v>
      </c>
      <c r="T68" t="str">
        <f>_xlfn.CONCAT(Table_Trailer_Restock[[#This Row],[Macro Sort]]," ",Table_Trailer_Restock[[#This Row],[Location]])</f>
        <v>C07 PEX Fittings</v>
      </c>
    </row>
    <row r="69" spans="1:20" x14ac:dyDescent="0.45">
      <c r="A69">
        <v>58</v>
      </c>
      <c r="B69" t="s">
        <v>174</v>
      </c>
      <c r="E69" t="s">
        <v>40</v>
      </c>
      <c r="F69" s="16" t="s">
        <v>175</v>
      </c>
      <c r="G69" s="16">
        <v>4</v>
      </c>
      <c r="H69" s="16">
        <v>4</v>
      </c>
      <c r="I69" t="s">
        <v>954</v>
      </c>
      <c r="J69" t="b">
        <v>1</v>
      </c>
      <c r="K69" t="b">
        <v>0</v>
      </c>
      <c r="L69" t="b">
        <v>1</v>
      </c>
      <c r="M69" s="9"/>
      <c r="N69" t="s">
        <v>863</v>
      </c>
      <c r="O69">
        <v>6</v>
      </c>
      <c r="P69">
        <v>2</v>
      </c>
      <c r="Q69" t="s">
        <v>848</v>
      </c>
      <c r="R69" t="str">
        <f>_xlfn.XLOOKUP(Table_Trailer_Restock[[#This Row],[Location]],Table_Trailer_Location[[Label ]],Table_Trailer_Location[Sort Order],"",0,1)</f>
        <v>C07</v>
      </c>
      <c r="S69">
        <v>7</v>
      </c>
      <c r="T69" t="str">
        <f>_xlfn.CONCAT(Table_Trailer_Restock[[#This Row],[Macro Sort]]," ",Table_Trailer_Restock[[#This Row],[Location]])</f>
        <v>C07 PEX Fittings</v>
      </c>
    </row>
    <row r="70" spans="1:20" x14ac:dyDescent="0.45">
      <c r="A70">
        <v>59</v>
      </c>
      <c r="B70" t="s">
        <v>176</v>
      </c>
      <c r="E70" t="s">
        <v>40</v>
      </c>
      <c r="F70" s="16" t="s">
        <v>177</v>
      </c>
      <c r="G70" s="16">
        <v>12</v>
      </c>
      <c r="H70" s="16">
        <v>12</v>
      </c>
      <c r="I70" t="s">
        <v>955</v>
      </c>
      <c r="J70" t="b">
        <v>1</v>
      </c>
      <c r="K70" t="b">
        <v>0</v>
      </c>
      <c r="L70" t="b">
        <v>1</v>
      </c>
      <c r="M70" s="9"/>
      <c r="N70" t="s">
        <v>863</v>
      </c>
      <c r="O70">
        <v>12</v>
      </c>
      <c r="P70">
        <v>4</v>
      </c>
      <c r="Q70" t="s">
        <v>848</v>
      </c>
      <c r="R70" t="str">
        <f>_xlfn.XLOOKUP(Table_Trailer_Restock[[#This Row],[Location]],Table_Trailer_Location[[Label ]],Table_Trailer_Location[Sort Order],"",0,1)</f>
        <v>C07</v>
      </c>
      <c r="S70">
        <v>8</v>
      </c>
      <c r="T70" t="str">
        <f>_xlfn.CONCAT(Table_Trailer_Restock[[#This Row],[Macro Sort]]," ",Table_Trailer_Restock[[#This Row],[Location]])</f>
        <v>C07 PEX Fittings</v>
      </c>
    </row>
    <row r="71" spans="1:20" x14ac:dyDescent="0.45">
      <c r="A71">
        <v>60</v>
      </c>
      <c r="B71" t="s">
        <v>178</v>
      </c>
      <c r="E71" t="s">
        <v>40</v>
      </c>
      <c r="F71" s="16" t="s">
        <v>179</v>
      </c>
      <c r="G71" s="16">
        <v>10</v>
      </c>
      <c r="H71" s="16">
        <v>10</v>
      </c>
      <c r="I71" t="s">
        <v>956</v>
      </c>
      <c r="J71" t="b">
        <v>1</v>
      </c>
      <c r="K71" t="b">
        <v>0</v>
      </c>
      <c r="L71" t="b">
        <v>1</v>
      </c>
      <c r="M71" s="9"/>
      <c r="N71" t="s">
        <v>863</v>
      </c>
      <c r="O71">
        <v>12</v>
      </c>
      <c r="P71">
        <v>4</v>
      </c>
      <c r="Q71" t="s">
        <v>848</v>
      </c>
      <c r="R71" t="str">
        <f>_xlfn.XLOOKUP(Table_Trailer_Restock[[#This Row],[Location]],Table_Trailer_Location[[Label ]],Table_Trailer_Location[Sort Order],"",0,1)</f>
        <v>C07</v>
      </c>
      <c r="S71">
        <v>9</v>
      </c>
      <c r="T71" t="str">
        <f>_xlfn.CONCAT(Table_Trailer_Restock[[#This Row],[Macro Sort]]," ",Table_Trailer_Restock[[#This Row],[Location]])</f>
        <v>C07 PEX Fittings</v>
      </c>
    </row>
    <row r="72" spans="1:20" x14ac:dyDescent="0.45">
      <c r="A72">
        <v>61</v>
      </c>
      <c r="B72" t="s">
        <v>180</v>
      </c>
      <c r="E72" t="s">
        <v>40</v>
      </c>
      <c r="F72" s="16" t="s">
        <v>181</v>
      </c>
      <c r="G72" s="16">
        <v>10</v>
      </c>
      <c r="H72" s="16">
        <v>10</v>
      </c>
      <c r="I72" t="s">
        <v>957</v>
      </c>
      <c r="J72" t="b">
        <v>1</v>
      </c>
      <c r="K72" t="b">
        <v>0</v>
      </c>
      <c r="L72" t="b">
        <v>1</v>
      </c>
      <c r="M72" s="9"/>
      <c r="N72" t="s">
        <v>863</v>
      </c>
      <c r="O72">
        <v>12</v>
      </c>
      <c r="P72">
        <v>4</v>
      </c>
      <c r="Q72" t="s">
        <v>848</v>
      </c>
      <c r="R72" t="str">
        <f>_xlfn.XLOOKUP(Table_Trailer_Restock[[#This Row],[Location]],Table_Trailer_Location[[Label ]],Table_Trailer_Location[Sort Order],"",0,1)</f>
        <v>C07</v>
      </c>
      <c r="S72">
        <v>10</v>
      </c>
      <c r="T72" t="str">
        <f>_xlfn.CONCAT(Table_Trailer_Restock[[#This Row],[Macro Sort]]," ",Table_Trailer_Restock[[#This Row],[Location]])</f>
        <v>C07 PEX Fittings</v>
      </c>
    </row>
    <row r="73" spans="1:20" x14ac:dyDescent="0.45">
      <c r="A73">
        <v>62</v>
      </c>
      <c r="B73" t="s">
        <v>182</v>
      </c>
      <c r="E73" t="s">
        <v>40</v>
      </c>
      <c r="F73" s="16" t="s">
        <v>184</v>
      </c>
      <c r="G73" s="16">
        <v>30</v>
      </c>
      <c r="H73" s="16">
        <v>10</v>
      </c>
      <c r="I73" t="s">
        <v>958</v>
      </c>
      <c r="J73" t="b">
        <v>1</v>
      </c>
      <c r="K73" t="b">
        <v>0</v>
      </c>
      <c r="L73" t="b">
        <v>1</v>
      </c>
      <c r="M73" s="9"/>
      <c r="N73" t="s">
        <v>875</v>
      </c>
      <c r="O73">
        <v>16</v>
      </c>
      <c r="P73">
        <v>8</v>
      </c>
      <c r="Q73" t="s">
        <v>848</v>
      </c>
      <c r="R73" t="str">
        <f>_xlfn.XLOOKUP(Table_Trailer_Restock[[#This Row],[Location]],Table_Trailer_Location[[Label ]],Table_Trailer_Location[Sort Order],"",0,1)</f>
        <v>C10</v>
      </c>
      <c r="S73">
        <v>1</v>
      </c>
      <c r="T73" t="str">
        <f>_xlfn.CONCAT(Table_Trailer_Restock[[#This Row],[Macro Sort]]," ",Table_Trailer_Restock[[#This Row],[Location]])</f>
        <v>C10 Press &amp; Black Iron</v>
      </c>
    </row>
    <row r="74" spans="1:20" x14ac:dyDescent="0.45">
      <c r="A74">
        <v>63</v>
      </c>
      <c r="B74" t="s">
        <v>185</v>
      </c>
      <c r="E74" t="s">
        <v>40</v>
      </c>
      <c r="F74" s="16" t="s">
        <v>186</v>
      </c>
      <c r="G74" s="16">
        <v>10</v>
      </c>
      <c r="H74" s="16">
        <v>4</v>
      </c>
      <c r="I74" t="s">
        <v>959</v>
      </c>
      <c r="J74" t="b">
        <v>1</v>
      </c>
      <c r="K74" t="b">
        <v>0</v>
      </c>
      <c r="L74" t="b">
        <v>1</v>
      </c>
      <c r="M74" s="9"/>
      <c r="N74" t="s">
        <v>875</v>
      </c>
      <c r="O74">
        <v>4</v>
      </c>
      <c r="P74">
        <v>2</v>
      </c>
      <c r="Q74" t="s">
        <v>848</v>
      </c>
      <c r="R74" t="str">
        <f>_xlfn.XLOOKUP(Table_Trailer_Restock[[#This Row],[Location]],Table_Trailer_Location[[Label ]],Table_Trailer_Location[Sort Order],"",0,1)</f>
        <v>C10</v>
      </c>
      <c r="S74">
        <v>2</v>
      </c>
      <c r="T74" t="str">
        <f>_xlfn.CONCAT(Table_Trailer_Restock[[#This Row],[Macro Sort]]," ",Table_Trailer_Restock[[#This Row],[Location]])</f>
        <v>C10 Press &amp; Black Iron</v>
      </c>
    </row>
    <row r="75" spans="1:20" x14ac:dyDescent="0.45">
      <c r="A75">
        <v>64</v>
      </c>
      <c r="B75" t="s">
        <v>187</v>
      </c>
      <c r="E75" t="s">
        <v>40</v>
      </c>
      <c r="F75" s="16">
        <v>50170</v>
      </c>
      <c r="G75" s="16">
        <v>10</v>
      </c>
      <c r="H75" s="16">
        <v>4</v>
      </c>
      <c r="I75" t="s">
        <v>960</v>
      </c>
      <c r="J75" t="b">
        <v>1</v>
      </c>
      <c r="K75" t="b">
        <v>0</v>
      </c>
      <c r="L75" t="b">
        <v>1</v>
      </c>
      <c r="M75" s="9"/>
      <c r="N75" t="s">
        <v>875</v>
      </c>
      <c r="O75">
        <v>8</v>
      </c>
      <c r="P75">
        <v>4</v>
      </c>
      <c r="Q75" t="s">
        <v>848</v>
      </c>
      <c r="R75" t="str">
        <f>_xlfn.XLOOKUP(Table_Trailer_Restock[[#This Row],[Location]],Table_Trailer_Location[[Label ]],Table_Trailer_Location[Sort Order],"",0,1)</f>
        <v>C10</v>
      </c>
      <c r="S75">
        <v>3</v>
      </c>
      <c r="T75" t="str">
        <f>_xlfn.CONCAT(Table_Trailer_Restock[[#This Row],[Macro Sort]]," ",Table_Trailer_Restock[[#This Row],[Location]])</f>
        <v>C10 Press &amp; Black Iron</v>
      </c>
    </row>
    <row r="76" spans="1:20" x14ac:dyDescent="0.45">
      <c r="A76">
        <v>65</v>
      </c>
      <c r="B76" t="s">
        <v>188</v>
      </c>
      <c r="E76" t="s">
        <v>40</v>
      </c>
      <c r="F76" s="16">
        <v>50024</v>
      </c>
      <c r="G76" s="16">
        <v>4</v>
      </c>
      <c r="H76" s="16">
        <v>4</v>
      </c>
      <c r="I76" t="s">
        <v>961</v>
      </c>
      <c r="J76" t="b">
        <v>1</v>
      </c>
      <c r="K76" t="b">
        <v>0</v>
      </c>
      <c r="L76" t="b">
        <v>1</v>
      </c>
      <c r="M76" s="9"/>
      <c r="N76" t="s">
        <v>875</v>
      </c>
      <c r="O76">
        <v>2</v>
      </c>
      <c r="P76">
        <v>2</v>
      </c>
      <c r="Q76" t="s">
        <v>848</v>
      </c>
      <c r="R76" t="str">
        <f>_xlfn.XLOOKUP(Table_Trailer_Restock[[#This Row],[Location]],Table_Trailer_Location[[Label ]],Table_Trailer_Location[Sort Order],"",0,1)</f>
        <v>C10</v>
      </c>
      <c r="S76">
        <v>4</v>
      </c>
      <c r="T76" t="str">
        <f>_xlfn.CONCAT(Table_Trailer_Restock[[#This Row],[Macro Sort]]," ",Table_Trailer_Restock[[#This Row],[Location]])</f>
        <v>C10 Press &amp; Black Iron</v>
      </c>
    </row>
    <row r="77" spans="1:20" x14ac:dyDescent="0.45">
      <c r="A77">
        <v>66</v>
      </c>
      <c r="B77" t="s">
        <v>189</v>
      </c>
      <c r="E77" t="s">
        <v>40</v>
      </c>
      <c r="F77" s="16" t="s">
        <v>190</v>
      </c>
      <c r="G77" s="16">
        <v>10</v>
      </c>
      <c r="H77" s="16">
        <v>10</v>
      </c>
      <c r="I77" t="s">
        <v>962</v>
      </c>
      <c r="J77" t="b">
        <v>1</v>
      </c>
      <c r="K77" t="b">
        <v>0</v>
      </c>
      <c r="L77" t="b">
        <v>1</v>
      </c>
      <c r="M77" s="9"/>
      <c r="N77" t="s">
        <v>875</v>
      </c>
      <c r="O77">
        <v>6</v>
      </c>
      <c r="P77">
        <v>2</v>
      </c>
      <c r="Q77" t="s">
        <v>848</v>
      </c>
      <c r="R77" t="str">
        <f>_xlfn.XLOOKUP(Table_Trailer_Restock[[#This Row],[Location]],Table_Trailer_Location[[Label ]],Table_Trailer_Location[Sort Order],"",0,1)</f>
        <v>C10</v>
      </c>
      <c r="S77">
        <v>5</v>
      </c>
      <c r="T77" t="str">
        <f>_xlfn.CONCAT(Table_Trailer_Restock[[#This Row],[Macro Sort]]," ",Table_Trailer_Restock[[#This Row],[Location]])</f>
        <v>C10 Press &amp; Black Iron</v>
      </c>
    </row>
    <row r="78" spans="1:20" x14ac:dyDescent="0.45">
      <c r="A78">
        <v>67</v>
      </c>
      <c r="B78" t="s">
        <v>191</v>
      </c>
      <c r="E78" t="s">
        <v>40</v>
      </c>
      <c r="F78" s="16" t="s">
        <v>193</v>
      </c>
      <c r="G78" s="16">
        <v>4</v>
      </c>
      <c r="H78" s="16">
        <v>2</v>
      </c>
      <c r="I78" t="s">
        <v>963</v>
      </c>
      <c r="J78" t="b">
        <v>1</v>
      </c>
      <c r="K78" t="b">
        <v>0</v>
      </c>
      <c r="L78" t="b">
        <v>1</v>
      </c>
      <c r="M78" s="9"/>
      <c r="N78" t="s">
        <v>875</v>
      </c>
      <c r="O78">
        <v>1</v>
      </c>
      <c r="Q78" t="s">
        <v>848</v>
      </c>
      <c r="R78" t="str">
        <f>_xlfn.XLOOKUP(Table_Trailer_Restock[[#This Row],[Location]],Table_Trailer_Location[[Label ]],Table_Trailer_Location[Sort Order],"",0,1)</f>
        <v>C10</v>
      </c>
      <c r="S78">
        <v>6</v>
      </c>
      <c r="T78" t="str">
        <f>_xlfn.CONCAT(Table_Trailer_Restock[[#This Row],[Macro Sort]]," ",Table_Trailer_Restock[[#This Row],[Location]])</f>
        <v>C10 Press &amp; Black Iron</v>
      </c>
    </row>
    <row r="79" spans="1:20" x14ac:dyDescent="0.45">
      <c r="A79">
        <v>68</v>
      </c>
      <c r="B79" t="s">
        <v>194</v>
      </c>
      <c r="E79" t="s">
        <v>40</v>
      </c>
      <c r="F79" s="16" t="s">
        <v>195</v>
      </c>
      <c r="G79" s="16">
        <v>4</v>
      </c>
      <c r="H79" s="16">
        <v>2</v>
      </c>
      <c r="I79" t="s">
        <v>964</v>
      </c>
      <c r="J79" t="b">
        <v>1</v>
      </c>
      <c r="K79" t="b">
        <v>0</v>
      </c>
      <c r="L79" t="b">
        <v>1</v>
      </c>
      <c r="M79" s="9"/>
      <c r="N79" t="s">
        <v>875</v>
      </c>
      <c r="O79">
        <v>1</v>
      </c>
      <c r="Q79" t="s">
        <v>848</v>
      </c>
      <c r="R79" t="str">
        <f>_xlfn.XLOOKUP(Table_Trailer_Restock[[#This Row],[Location]],Table_Trailer_Location[[Label ]],Table_Trailer_Location[Sort Order],"",0,1)</f>
        <v>C10</v>
      </c>
      <c r="S79">
        <v>7</v>
      </c>
      <c r="T79" t="str">
        <f>_xlfn.CONCAT(Table_Trailer_Restock[[#This Row],[Macro Sort]]," ",Table_Trailer_Restock[[#This Row],[Location]])</f>
        <v>C10 Press &amp; Black Iron</v>
      </c>
    </row>
    <row r="80" spans="1:20" x14ac:dyDescent="0.45">
      <c r="A80">
        <v>69</v>
      </c>
      <c r="B80" t="s">
        <v>196</v>
      </c>
      <c r="E80" t="s">
        <v>40</v>
      </c>
      <c r="F80" s="16" t="s">
        <v>197</v>
      </c>
      <c r="G80" s="16">
        <v>4</v>
      </c>
      <c r="H80" s="16">
        <v>2</v>
      </c>
      <c r="I80" t="s">
        <v>965</v>
      </c>
      <c r="J80" t="b">
        <v>1</v>
      </c>
      <c r="K80" t="b">
        <v>0</v>
      </c>
      <c r="L80" t="b">
        <v>1</v>
      </c>
      <c r="M80" s="9"/>
      <c r="N80" t="s">
        <v>875</v>
      </c>
      <c r="O80">
        <v>1</v>
      </c>
      <c r="Q80" t="s">
        <v>848</v>
      </c>
      <c r="R80" t="str">
        <f>_xlfn.XLOOKUP(Table_Trailer_Restock[[#This Row],[Location]],Table_Trailer_Location[[Label ]],Table_Trailer_Location[Sort Order],"",0,1)</f>
        <v>C10</v>
      </c>
      <c r="S80">
        <v>8</v>
      </c>
      <c r="T80" t="str">
        <f>_xlfn.CONCAT(Table_Trailer_Restock[[#This Row],[Macro Sort]]," ",Table_Trailer_Restock[[#This Row],[Location]])</f>
        <v>C10 Press &amp; Black Iron</v>
      </c>
    </row>
    <row r="81" spans="1:20" x14ac:dyDescent="0.45">
      <c r="A81">
        <v>70</v>
      </c>
      <c r="B81" t="s">
        <v>198</v>
      </c>
      <c r="E81" t="s">
        <v>40</v>
      </c>
      <c r="F81" s="16" t="s">
        <v>199</v>
      </c>
      <c r="G81" s="16">
        <v>4</v>
      </c>
      <c r="H81" s="16">
        <v>2</v>
      </c>
      <c r="I81" t="s">
        <v>966</v>
      </c>
      <c r="J81" t="b">
        <v>1</v>
      </c>
      <c r="K81" t="b">
        <v>0</v>
      </c>
      <c r="L81" t="b">
        <v>1</v>
      </c>
      <c r="M81" s="9"/>
      <c r="N81" t="s">
        <v>875</v>
      </c>
      <c r="O81">
        <v>1</v>
      </c>
      <c r="Q81" t="s">
        <v>848</v>
      </c>
      <c r="R81" t="str">
        <f>_xlfn.XLOOKUP(Table_Trailer_Restock[[#This Row],[Location]],Table_Trailer_Location[[Label ]],Table_Trailer_Location[Sort Order],"",0,1)</f>
        <v>C10</v>
      </c>
      <c r="S81">
        <v>9</v>
      </c>
      <c r="T81" t="str">
        <f>_xlfn.CONCAT(Table_Trailer_Restock[[#This Row],[Macro Sort]]," ",Table_Trailer_Restock[[#This Row],[Location]])</f>
        <v>C10 Press &amp; Black Iron</v>
      </c>
    </row>
    <row r="82" spans="1:20" x14ac:dyDescent="0.45">
      <c r="A82">
        <v>71</v>
      </c>
      <c r="B82" t="s">
        <v>200</v>
      </c>
      <c r="E82" t="s">
        <v>29</v>
      </c>
      <c r="F82" s="16">
        <v>536555</v>
      </c>
      <c r="G82" s="16">
        <v>3</v>
      </c>
      <c r="H82" s="16">
        <v>1</v>
      </c>
      <c r="I82" t="s">
        <v>967</v>
      </c>
      <c r="J82" t="b">
        <v>1</v>
      </c>
      <c r="K82" t="b">
        <v>0</v>
      </c>
      <c r="L82" t="b">
        <v>1</v>
      </c>
      <c r="M82" s="9"/>
      <c r="N82" t="s">
        <v>872</v>
      </c>
      <c r="O82">
        <v>2</v>
      </c>
      <c r="Q82" t="s">
        <v>848</v>
      </c>
      <c r="R82" t="str">
        <f>_xlfn.XLOOKUP(Table_Trailer_Restock[[#This Row],[Location]],Table_Trailer_Location[[Label ]],Table_Trailer_Location[Sort Order],"",0,1)</f>
        <v>C09</v>
      </c>
      <c r="S82">
        <v>1</v>
      </c>
      <c r="T82" t="str">
        <f>_xlfn.CONCAT(Table_Trailer_Restock[[#This Row],[Macro Sort]]," ",Table_Trailer_Restock[[#This Row],[Location]])</f>
        <v>C09 Push Fit Fittings</v>
      </c>
    </row>
    <row r="83" spans="1:20" x14ac:dyDescent="0.45">
      <c r="A83">
        <v>72</v>
      </c>
      <c r="B83" t="s">
        <v>202</v>
      </c>
      <c r="E83" t="s">
        <v>40</v>
      </c>
      <c r="F83" s="16" t="s">
        <v>203</v>
      </c>
      <c r="G83" s="16">
        <v>3</v>
      </c>
      <c r="H83" s="16">
        <v>3</v>
      </c>
      <c r="I83" t="s">
        <v>968</v>
      </c>
      <c r="J83" t="b">
        <v>1</v>
      </c>
      <c r="K83" t="b">
        <v>0</v>
      </c>
      <c r="L83" t="b">
        <v>1</v>
      </c>
      <c r="M83" s="9"/>
      <c r="N83" t="s">
        <v>872</v>
      </c>
      <c r="O83">
        <v>2</v>
      </c>
      <c r="Q83" t="s">
        <v>848</v>
      </c>
      <c r="R83" t="str">
        <f>_xlfn.XLOOKUP(Table_Trailer_Restock[[#This Row],[Location]],Table_Trailer_Location[[Label ]],Table_Trailer_Location[Sort Order],"",0,1)</f>
        <v>C09</v>
      </c>
      <c r="S83">
        <v>2</v>
      </c>
      <c r="T83" t="str">
        <f>_xlfn.CONCAT(Table_Trailer_Restock[[#This Row],[Macro Sort]]," ",Table_Trailer_Restock[[#This Row],[Location]])</f>
        <v>C09 Push Fit Fittings</v>
      </c>
    </row>
    <row r="84" spans="1:20" x14ac:dyDescent="0.45">
      <c r="A84">
        <v>73</v>
      </c>
      <c r="B84" t="s">
        <v>204</v>
      </c>
      <c r="E84" t="s">
        <v>40</v>
      </c>
      <c r="F84" s="16" t="s">
        <v>205</v>
      </c>
      <c r="G84" s="16">
        <v>3</v>
      </c>
      <c r="H84" s="16">
        <v>3</v>
      </c>
      <c r="I84" t="s">
        <v>969</v>
      </c>
      <c r="J84" t="b">
        <v>1</v>
      </c>
      <c r="K84" t="b">
        <v>0</v>
      </c>
      <c r="L84" t="b">
        <v>1</v>
      </c>
      <c r="M84" s="9"/>
      <c r="N84" t="s">
        <v>872</v>
      </c>
      <c r="O84">
        <v>2</v>
      </c>
      <c r="Q84" t="s">
        <v>848</v>
      </c>
      <c r="R84" t="str">
        <f>_xlfn.XLOOKUP(Table_Trailer_Restock[[#This Row],[Location]],Table_Trailer_Location[[Label ]],Table_Trailer_Location[Sort Order],"",0,1)</f>
        <v>C09</v>
      </c>
      <c r="S84">
        <v>3</v>
      </c>
      <c r="T84" t="str">
        <f>_xlfn.CONCAT(Table_Trailer_Restock[[#This Row],[Macro Sort]]," ",Table_Trailer_Restock[[#This Row],[Location]])</f>
        <v>C09 Push Fit Fittings</v>
      </c>
    </row>
    <row r="85" spans="1:20" x14ac:dyDescent="0.45">
      <c r="A85">
        <v>74</v>
      </c>
      <c r="B85" t="s">
        <v>206</v>
      </c>
      <c r="E85" t="s">
        <v>40</v>
      </c>
      <c r="F85" s="16" t="s">
        <v>207</v>
      </c>
      <c r="G85" s="16">
        <v>4</v>
      </c>
      <c r="H85" s="16">
        <v>4</v>
      </c>
      <c r="I85" t="s">
        <v>970</v>
      </c>
      <c r="J85" t="b">
        <v>1</v>
      </c>
      <c r="K85" t="b">
        <v>0</v>
      </c>
      <c r="L85" t="b">
        <v>1</v>
      </c>
      <c r="M85" s="9"/>
      <c r="N85" t="s">
        <v>872</v>
      </c>
      <c r="O85">
        <v>6</v>
      </c>
      <c r="P85">
        <v>2</v>
      </c>
      <c r="Q85" t="s">
        <v>848</v>
      </c>
      <c r="R85" t="str">
        <f>_xlfn.XLOOKUP(Table_Trailer_Restock[[#This Row],[Location]],Table_Trailer_Location[[Label ]],Table_Trailer_Location[Sort Order],"",0,1)</f>
        <v>C09</v>
      </c>
      <c r="S85">
        <v>4</v>
      </c>
      <c r="T85" t="str">
        <f>_xlfn.CONCAT(Table_Trailer_Restock[[#This Row],[Macro Sort]]," ",Table_Trailer_Restock[[#This Row],[Location]])</f>
        <v>C09 Push Fit Fittings</v>
      </c>
    </row>
    <row r="86" spans="1:20" x14ac:dyDescent="0.45">
      <c r="A86">
        <v>75</v>
      </c>
      <c r="B86" t="s">
        <v>208</v>
      </c>
      <c r="E86" t="s">
        <v>40</v>
      </c>
      <c r="F86" s="16" t="s">
        <v>209</v>
      </c>
      <c r="G86" s="16">
        <v>4</v>
      </c>
      <c r="H86" s="16">
        <v>4</v>
      </c>
      <c r="I86" t="s">
        <v>971</v>
      </c>
      <c r="J86" t="b">
        <v>1</v>
      </c>
      <c r="K86" t="b">
        <v>0</v>
      </c>
      <c r="L86" t="b">
        <v>1</v>
      </c>
      <c r="M86" s="9"/>
      <c r="N86" t="s">
        <v>872</v>
      </c>
      <c r="O86">
        <v>6</v>
      </c>
      <c r="P86">
        <v>2</v>
      </c>
      <c r="Q86" t="s">
        <v>848</v>
      </c>
      <c r="R86" t="str">
        <f>_xlfn.XLOOKUP(Table_Trailer_Restock[[#This Row],[Location]],Table_Trailer_Location[[Label ]],Table_Trailer_Location[Sort Order],"",0,1)</f>
        <v>C09</v>
      </c>
      <c r="S86">
        <v>5</v>
      </c>
      <c r="T86" t="str">
        <f>_xlfn.CONCAT(Table_Trailer_Restock[[#This Row],[Macro Sort]]," ",Table_Trailer_Restock[[#This Row],[Location]])</f>
        <v>C09 Push Fit Fittings</v>
      </c>
    </row>
    <row r="87" spans="1:20" x14ac:dyDescent="0.45">
      <c r="A87">
        <v>76</v>
      </c>
      <c r="B87" t="s">
        <v>210</v>
      </c>
      <c r="E87" t="s">
        <v>40</v>
      </c>
      <c r="F87" s="16" t="s">
        <v>211</v>
      </c>
      <c r="G87" s="16">
        <v>4</v>
      </c>
      <c r="H87" s="16">
        <v>4</v>
      </c>
      <c r="I87" t="s">
        <v>972</v>
      </c>
      <c r="J87" t="b">
        <v>1</v>
      </c>
      <c r="K87" t="b">
        <v>0</v>
      </c>
      <c r="L87" t="b">
        <v>1</v>
      </c>
      <c r="M87" s="9"/>
      <c r="N87" t="s">
        <v>872</v>
      </c>
      <c r="O87">
        <v>2</v>
      </c>
      <c r="Q87" t="s">
        <v>848</v>
      </c>
      <c r="R87" t="str">
        <f>_xlfn.XLOOKUP(Table_Trailer_Restock[[#This Row],[Location]],Table_Trailer_Location[[Label ]],Table_Trailer_Location[Sort Order],"",0,1)</f>
        <v>C09</v>
      </c>
      <c r="S87">
        <v>6</v>
      </c>
      <c r="T87" t="str">
        <f>_xlfn.CONCAT(Table_Trailer_Restock[[#This Row],[Macro Sort]]," ",Table_Trailer_Restock[[#This Row],[Location]])</f>
        <v>C09 Push Fit Fittings</v>
      </c>
    </row>
    <row r="88" spans="1:20" x14ac:dyDescent="0.45">
      <c r="A88">
        <v>77</v>
      </c>
      <c r="B88" t="s">
        <v>212</v>
      </c>
      <c r="E88" t="s">
        <v>40</v>
      </c>
      <c r="F88" s="16" t="s">
        <v>213</v>
      </c>
      <c r="G88" s="16">
        <v>4</v>
      </c>
      <c r="H88" s="16">
        <v>2</v>
      </c>
      <c r="I88" t="s">
        <v>973</v>
      </c>
      <c r="J88" t="b">
        <v>1</v>
      </c>
      <c r="K88" t="b">
        <v>0</v>
      </c>
      <c r="L88" t="b">
        <v>1</v>
      </c>
      <c r="M88" s="9"/>
      <c r="N88" t="s">
        <v>872</v>
      </c>
      <c r="O88">
        <v>2</v>
      </c>
      <c r="Q88" t="s">
        <v>848</v>
      </c>
      <c r="R88" t="str">
        <f>_xlfn.XLOOKUP(Table_Trailer_Restock[[#This Row],[Location]],Table_Trailer_Location[[Label ]],Table_Trailer_Location[Sort Order],"",0,1)</f>
        <v>C09</v>
      </c>
      <c r="S88">
        <v>7</v>
      </c>
      <c r="T88" t="str">
        <f>_xlfn.CONCAT(Table_Trailer_Restock[[#This Row],[Macro Sort]]," ",Table_Trailer_Restock[[#This Row],[Location]])</f>
        <v>C09 Push Fit Fittings</v>
      </c>
    </row>
    <row r="89" spans="1:20" x14ac:dyDescent="0.45">
      <c r="A89">
        <v>78</v>
      </c>
      <c r="B89" t="s">
        <v>214</v>
      </c>
      <c r="E89" t="s">
        <v>40</v>
      </c>
      <c r="F89" s="16">
        <v>24985</v>
      </c>
      <c r="G89" s="16">
        <v>6</v>
      </c>
      <c r="H89" s="16">
        <v>4</v>
      </c>
      <c r="I89" t="s">
        <v>974</v>
      </c>
      <c r="J89" t="b">
        <v>1</v>
      </c>
      <c r="K89" t="b">
        <v>0</v>
      </c>
      <c r="L89" t="b">
        <v>1</v>
      </c>
      <c r="M89" s="9"/>
      <c r="N89" t="s">
        <v>872</v>
      </c>
      <c r="O89">
        <v>3</v>
      </c>
      <c r="P89">
        <v>1</v>
      </c>
      <c r="Q89" t="s">
        <v>848</v>
      </c>
      <c r="R89" t="str">
        <f>_xlfn.XLOOKUP(Table_Trailer_Restock[[#This Row],[Location]],Table_Trailer_Location[[Label ]],Table_Trailer_Location[Sort Order],"",0,1)</f>
        <v>C09</v>
      </c>
      <c r="S89">
        <v>8</v>
      </c>
      <c r="T89" t="str">
        <f>_xlfn.CONCAT(Table_Trailer_Restock[[#This Row],[Macro Sort]]," ",Table_Trailer_Restock[[#This Row],[Location]])</f>
        <v>C09 Push Fit Fittings</v>
      </c>
    </row>
    <row r="90" spans="1:20" x14ac:dyDescent="0.45">
      <c r="A90">
        <v>79</v>
      </c>
      <c r="B90" t="s">
        <v>216</v>
      </c>
      <c r="E90" t="s">
        <v>40</v>
      </c>
      <c r="F90" s="16" t="s">
        <v>218</v>
      </c>
      <c r="G90" s="16">
        <v>20</v>
      </c>
      <c r="H90" s="16">
        <v>20</v>
      </c>
      <c r="I90" t="s">
        <v>975</v>
      </c>
      <c r="J90" t="b">
        <v>1</v>
      </c>
      <c r="K90" t="b">
        <v>0</v>
      </c>
      <c r="L90" t="b">
        <v>1</v>
      </c>
      <c r="M90" s="9"/>
      <c r="N90" t="s">
        <v>866</v>
      </c>
      <c r="O90">
        <v>12</v>
      </c>
      <c r="P90">
        <v>6</v>
      </c>
      <c r="Q90" t="s">
        <v>848</v>
      </c>
      <c r="R90" t="str">
        <f>_xlfn.XLOOKUP(Table_Trailer_Restock[[#This Row],[Location]],Table_Trailer_Location[[Label ]],Table_Trailer_Location[Sort Order],"",0,1)</f>
        <v>C08</v>
      </c>
      <c r="S90">
        <v>1</v>
      </c>
      <c r="T90" t="str">
        <f>_xlfn.CONCAT(Table_Trailer_Restock[[#This Row],[Macro Sort]]," ",Table_Trailer_Restock[[#This Row],[Location]])</f>
        <v>C08 PVC Fittings</v>
      </c>
    </row>
    <row r="91" spans="1:20" x14ac:dyDescent="0.45">
      <c r="A91">
        <v>80</v>
      </c>
      <c r="B91" t="s">
        <v>219</v>
      </c>
      <c r="E91" t="s">
        <v>40</v>
      </c>
      <c r="F91" s="16" t="s">
        <v>220</v>
      </c>
      <c r="G91" s="16">
        <v>4</v>
      </c>
      <c r="H91" s="16">
        <v>4</v>
      </c>
      <c r="I91" t="s">
        <v>976</v>
      </c>
      <c r="J91" t="b">
        <v>1</v>
      </c>
      <c r="K91" t="b">
        <v>0</v>
      </c>
      <c r="L91" t="b">
        <v>1</v>
      </c>
      <c r="M91" s="9"/>
      <c r="N91" t="s">
        <v>866</v>
      </c>
      <c r="O91">
        <v>6</v>
      </c>
      <c r="P91">
        <v>2</v>
      </c>
      <c r="Q91" t="s">
        <v>848</v>
      </c>
      <c r="R91" t="str">
        <f>_xlfn.XLOOKUP(Table_Trailer_Restock[[#This Row],[Location]],Table_Trailer_Location[[Label ]],Table_Trailer_Location[Sort Order],"",0,1)</f>
        <v>C08</v>
      </c>
      <c r="S91">
        <v>2</v>
      </c>
      <c r="T91" t="str">
        <f>_xlfn.CONCAT(Table_Trailer_Restock[[#This Row],[Macro Sort]]," ",Table_Trailer_Restock[[#This Row],[Location]])</f>
        <v>C08 PVC Fittings</v>
      </c>
    </row>
    <row r="92" spans="1:20" x14ac:dyDescent="0.45">
      <c r="A92">
        <v>81</v>
      </c>
      <c r="B92" t="s">
        <v>221</v>
      </c>
      <c r="E92" t="s">
        <v>40</v>
      </c>
      <c r="F92" s="16" t="s">
        <v>222</v>
      </c>
      <c r="G92" s="16">
        <v>4</v>
      </c>
      <c r="H92" s="16">
        <v>4</v>
      </c>
      <c r="I92" t="s">
        <v>977</v>
      </c>
      <c r="J92" t="b">
        <v>1</v>
      </c>
      <c r="K92" t="b">
        <v>0</v>
      </c>
      <c r="L92" t="b">
        <v>1</v>
      </c>
      <c r="M92" s="9"/>
      <c r="N92" t="s">
        <v>866</v>
      </c>
      <c r="O92">
        <v>6</v>
      </c>
      <c r="P92">
        <v>2</v>
      </c>
      <c r="Q92" t="s">
        <v>848</v>
      </c>
      <c r="R92" t="str">
        <f>_xlfn.XLOOKUP(Table_Trailer_Restock[[#This Row],[Location]],Table_Trailer_Location[[Label ]],Table_Trailer_Location[Sort Order],"",0,1)</f>
        <v>C08</v>
      </c>
      <c r="S92">
        <v>3</v>
      </c>
      <c r="T92" t="str">
        <f>_xlfn.CONCAT(Table_Trailer_Restock[[#This Row],[Macro Sort]]," ",Table_Trailer_Restock[[#This Row],[Location]])</f>
        <v>C08 PVC Fittings</v>
      </c>
    </row>
    <row r="93" spans="1:20" x14ac:dyDescent="0.45">
      <c r="A93">
        <v>82</v>
      </c>
      <c r="B93" t="s">
        <v>223</v>
      </c>
      <c r="E93" t="s">
        <v>40</v>
      </c>
      <c r="F93" s="16" t="s">
        <v>224</v>
      </c>
      <c r="G93" s="16">
        <v>10</v>
      </c>
      <c r="H93" s="16">
        <v>10</v>
      </c>
      <c r="I93" t="s">
        <v>978</v>
      </c>
      <c r="J93" t="b">
        <v>1</v>
      </c>
      <c r="K93" t="b">
        <v>0</v>
      </c>
      <c r="L93" t="b">
        <v>1</v>
      </c>
      <c r="M93" s="9"/>
      <c r="N93" t="s">
        <v>866</v>
      </c>
      <c r="O93">
        <v>6</v>
      </c>
      <c r="P93">
        <v>2</v>
      </c>
      <c r="Q93" t="s">
        <v>848</v>
      </c>
      <c r="R93" t="str">
        <f>_xlfn.XLOOKUP(Table_Trailer_Restock[[#This Row],[Location]],Table_Trailer_Location[[Label ]],Table_Trailer_Location[Sort Order],"",0,1)</f>
        <v>C08</v>
      </c>
      <c r="S93">
        <v>4</v>
      </c>
      <c r="T93" t="str">
        <f>_xlfn.CONCAT(Table_Trailer_Restock[[#This Row],[Macro Sort]]," ",Table_Trailer_Restock[[#This Row],[Location]])</f>
        <v>C08 PVC Fittings</v>
      </c>
    </row>
    <row r="94" spans="1:20" x14ac:dyDescent="0.45">
      <c r="A94">
        <v>83</v>
      </c>
      <c r="B94" t="s">
        <v>225</v>
      </c>
      <c r="E94" t="s">
        <v>40</v>
      </c>
      <c r="F94" s="16" t="s">
        <v>226</v>
      </c>
      <c r="G94" s="16">
        <v>10</v>
      </c>
      <c r="H94" s="16">
        <v>10</v>
      </c>
      <c r="I94" t="s">
        <v>979</v>
      </c>
      <c r="J94" t="b">
        <v>1</v>
      </c>
      <c r="K94" t="b">
        <v>0</v>
      </c>
      <c r="L94" t="b">
        <v>1</v>
      </c>
      <c r="M94" s="9"/>
      <c r="N94" t="s">
        <v>866</v>
      </c>
      <c r="O94">
        <v>8</v>
      </c>
      <c r="P94">
        <v>2</v>
      </c>
      <c r="Q94" t="s">
        <v>848</v>
      </c>
      <c r="R94" t="str">
        <f>_xlfn.XLOOKUP(Table_Trailer_Restock[[#This Row],[Location]],Table_Trailer_Location[[Label ]],Table_Trailer_Location[Sort Order],"",0,1)</f>
        <v>C08</v>
      </c>
      <c r="S94">
        <v>5</v>
      </c>
      <c r="T94" t="str">
        <f>_xlfn.CONCAT(Table_Trailer_Restock[[#This Row],[Macro Sort]]," ",Table_Trailer_Restock[[#This Row],[Location]])</f>
        <v>C08 PVC Fittings</v>
      </c>
    </row>
    <row r="95" spans="1:20" x14ac:dyDescent="0.45">
      <c r="A95">
        <v>84</v>
      </c>
      <c r="B95" t="s">
        <v>227</v>
      </c>
      <c r="E95" t="s">
        <v>40</v>
      </c>
      <c r="F95" s="16" t="s">
        <v>228</v>
      </c>
      <c r="G95" s="16">
        <v>10</v>
      </c>
      <c r="H95" s="16">
        <v>10</v>
      </c>
      <c r="I95" t="s">
        <v>980</v>
      </c>
      <c r="J95" t="b">
        <v>1</v>
      </c>
      <c r="K95" t="b">
        <v>0</v>
      </c>
      <c r="L95" t="b">
        <v>1</v>
      </c>
      <c r="M95" s="9"/>
      <c r="N95" t="s">
        <v>866</v>
      </c>
      <c r="O95">
        <v>8</v>
      </c>
      <c r="P95">
        <v>2</v>
      </c>
      <c r="Q95" t="s">
        <v>848</v>
      </c>
      <c r="R95" t="str">
        <f>_xlfn.XLOOKUP(Table_Trailer_Restock[[#This Row],[Location]],Table_Trailer_Location[[Label ]],Table_Trailer_Location[Sort Order],"",0,1)</f>
        <v>C08</v>
      </c>
      <c r="S95">
        <v>6</v>
      </c>
      <c r="T95" t="str">
        <f>_xlfn.CONCAT(Table_Trailer_Restock[[#This Row],[Macro Sort]]," ",Table_Trailer_Restock[[#This Row],[Location]])</f>
        <v>C08 PVC Fittings</v>
      </c>
    </row>
    <row r="96" spans="1:20" x14ac:dyDescent="0.45">
      <c r="A96">
        <v>85</v>
      </c>
      <c r="B96" t="s">
        <v>229</v>
      </c>
      <c r="E96" t="s">
        <v>40</v>
      </c>
      <c r="F96" s="16" t="s">
        <v>230</v>
      </c>
      <c r="G96" s="16">
        <v>6</v>
      </c>
      <c r="H96" s="16">
        <v>6</v>
      </c>
      <c r="I96" t="s">
        <v>981</v>
      </c>
      <c r="J96" t="b">
        <v>1</v>
      </c>
      <c r="K96" t="b">
        <v>0</v>
      </c>
      <c r="L96" t="b">
        <v>1</v>
      </c>
      <c r="M96" s="9"/>
      <c r="N96" t="s">
        <v>866</v>
      </c>
      <c r="O96">
        <v>4</v>
      </c>
      <c r="P96">
        <v>2</v>
      </c>
      <c r="Q96" t="s">
        <v>848</v>
      </c>
      <c r="R96" t="str">
        <f>_xlfn.XLOOKUP(Table_Trailer_Restock[[#This Row],[Location]],Table_Trailer_Location[[Label ]],Table_Trailer_Location[Sort Order],"",0,1)</f>
        <v>C08</v>
      </c>
      <c r="S96">
        <v>7</v>
      </c>
      <c r="T96" t="str">
        <f>_xlfn.CONCAT(Table_Trailer_Restock[[#This Row],[Macro Sort]]," ",Table_Trailer_Restock[[#This Row],[Location]])</f>
        <v>C08 PVC Fittings</v>
      </c>
    </row>
    <row r="97" spans="1:20" x14ac:dyDescent="0.45">
      <c r="A97">
        <v>86</v>
      </c>
      <c r="B97" t="s">
        <v>231</v>
      </c>
      <c r="E97" t="s">
        <v>40</v>
      </c>
      <c r="F97" s="16" t="s">
        <v>232</v>
      </c>
      <c r="G97" s="16">
        <v>10</v>
      </c>
      <c r="H97" s="16">
        <v>4</v>
      </c>
      <c r="I97" t="s">
        <v>982</v>
      </c>
      <c r="J97" t="b">
        <v>1</v>
      </c>
      <c r="K97" t="b">
        <v>0</v>
      </c>
      <c r="L97" t="b">
        <v>1</v>
      </c>
      <c r="M97" s="9"/>
      <c r="N97" t="s">
        <v>866</v>
      </c>
      <c r="O97">
        <v>10</v>
      </c>
      <c r="P97">
        <v>2</v>
      </c>
      <c r="Q97" t="s">
        <v>848</v>
      </c>
      <c r="R97" t="str">
        <f>_xlfn.XLOOKUP(Table_Trailer_Restock[[#This Row],[Location]],Table_Trailer_Location[[Label ]],Table_Trailer_Location[Sort Order],"",0,1)</f>
        <v>C08</v>
      </c>
      <c r="S97">
        <v>8</v>
      </c>
      <c r="T97" t="str">
        <f>_xlfn.CONCAT(Table_Trailer_Restock[[#This Row],[Macro Sort]]," ",Table_Trailer_Restock[[#This Row],[Location]])</f>
        <v>C08 PVC Fittings</v>
      </c>
    </row>
    <row r="98" spans="1:20" x14ac:dyDescent="0.45">
      <c r="A98">
        <v>87</v>
      </c>
      <c r="B98" t="s">
        <v>233</v>
      </c>
      <c r="E98" t="s">
        <v>29</v>
      </c>
      <c r="F98" s="16">
        <v>1002217597</v>
      </c>
      <c r="G98" s="16">
        <v>6</v>
      </c>
      <c r="H98" s="16">
        <v>6</v>
      </c>
      <c r="I98" t="s">
        <v>983</v>
      </c>
      <c r="J98" t="b">
        <v>1</v>
      </c>
      <c r="K98" t="b">
        <v>0</v>
      </c>
      <c r="L98" t="b">
        <v>1</v>
      </c>
      <c r="M98" s="9"/>
      <c r="N98" t="s">
        <v>866</v>
      </c>
      <c r="O98">
        <v>2</v>
      </c>
      <c r="P98">
        <v>1</v>
      </c>
      <c r="Q98" t="s">
        <v>848</v>
      </c>
      <c r="R98" t="str">
        <f>_xlfn.XLOOKUP(Table_Trailer_Restock[[#This Row],[Location]],Table_Trailer_Location[[Label ]],Table_Trailer_Location[Sort Order],"",0,1)</f>
        <v>C08</v>
      </c>
      <c r="S98">
        <v>9</v>
      </c>
      <c r="T98" t="str">
        <f>_xlfn.CONCAT(Table_Trailer_Restock[[#This Row],[Macro Sort]]," ",Table_Trailer_Restock[[#This Row],[Location]])</f>
        <v>C08 PVC Fittings</v>
      </c>
    </row>
    <row r="99" spans="1:20" x14ac:dyDescent="0.45">
      <c r="A99">
        <v>88</v>
      </c>
      <c r="B99" t="s">
        <v>234</v>
      </c>
      <c r="E99" t="s">
        <v>40</v>
      </c>
      <c r="F99" s="16" t="s">
        <v>235</v>
      </c>
      <c r="G99" s="16">
        <v>2</v>
      </c>
      <c r="H99" s="16">
        <v>2</v>
      </c>
      <c r="I99" t="s">
        <v>984</v>
      </c>
      <c r="J99" t="b">
        <v>1</v>
      </c>
      <c r="K99" t="b">
        <v>0</v>
      </c>
      <c r="L99" t="b">
        <v>1</v>
      </c>
      <c r="M99" s="9"/>
      <c r="N99" t="s">
        <v>866</v>
      </c>
      <c r="O99">
        <v>4</v>
      </c>
      <c r="P99">
        <v>1</v>
      </c>
      <c r="Q99" t="s">
        <v>848</v>
      </c>
      <c r="R99" t="str">
        <f>_xlfn.XLOOKUP(Table_Trailer_Restock[[#This Row],[Location]],Table_Trailer_Location[[Label ]],Table_Trailer_Location[Sort Order],"",0,1)</f>
        <v>C08</v>
      </c>
      <c r="S99">
        <v>10</v>
      </c>
      <c r="T99" t="str">
        <f>_xlfn.CONCAT(Table_Trailer_Restock[[#This Row],[Macro Sort]]," ",Table_Trailer_Restock[[#This Row],[Location]])</f>
        <v>C08 PVC Fittings</v>
      </c>
    </row>
    <row r="100" spans="1:20" x14ac:dyDescent="0.45">
      <c r="A100">
        <v>89</v>
      </c>
      <c r="B100" t="s">
        <v>236</v>
      </c>
      <c r="E100" t="s">
        <v>40</v>
      </c>
      <c r="F100" s="16" t="s">
        <v>237</v>
      </c>
      <c r="G100" s="16">
        <v>2</v>
      </c>
      <c r="H100" s="16">
        <v>2</v>
      </c>
      <c r="I100" t="s">
        <v>985</v>
      </c>
      <c r="J100" t="b">
        <v>1</v>
      </c>
      <c r="K100" t="b">
        <v>0</v>
      </c>
      <c r="L100" t="b">
        <v>1</v>
      </c>
      <c r="M100" s="9"/>
      <c r="N100" t="s">
        <v>866</v>
      </c>
      <c r="O100">
        <v>2</v>
      </c>
      <c r="P100">
        <v>1</v>
      </c>
      <c r="Q100" t="s">
        <v>848</v>
      </c>
      <c r="R100" t="str">
        <f>_xlfn.XLOOKUP(Table_Trailer_Restock[[#This Row],[Location]],Table_Trailer_Location[[Label ]],Table_Trailer_Location[Sort Order],"",0,1)</f>
        <v>C08</v>
      </c>
      <c r="S100">
        <v>11</v>
      </c>
      <c r="T100" t="str">
        <f>_xlfn.CONCAT(Table_Trailer_Restock[[#This Row],[Macro Sort]]," ",Table_Trailer_Restock[[#This Row],[Location]])</f>
        <v>C08 PVC Fittings</v>
      </c>
    </row>
    <row r="101" spans="1:20" x14ac:dyDescent="0.45">
      <c r="A101">
        <v>90</v>
      </c>
      <c r="B101" t="s">
        <v>238</v>
      </c>
      <c r="E101" t="s">
        <v>29</v>
      </c>
      <c r="F101" s="16">
        <v>1005695140</v>
      </c>
      <c r="G101" s="16">
        <v>100</v>
      </c>
      <c r="H101" s="16">
        <v>50</v>
      </c>
      <c r="I101" t="s">
        <v>986</v>
      </c>
      <c r="J101" t="b">
        <v>1</v>
      </c>
      <c r="K101" t="b">
        <v>0</v>
      </c>
      <c r="L101" t="b">
        <v>1</v>
      </c>
      <c r="M101" s="9"/>
      <c r="N101" t="s">
        <v>239</v>
      </c>
      <c r="O101">
        <v>100</v>
      </c>
      <c r="P101">
        <v>25</v>
      </c>
      <c r="Q101" t="s">
        <v>848</v>
      </c>
      <c r="R101" t="str">
        <f>_xlfn.XLOOKUP(Table_Trailer_Restock[[#This Row],[Location]],Table_Trailer_Location[[Label ]],Table_Trailer_Location[Sort Order],"",0,1)</f>
        <v>C02</v>
      </c>
      <c r="S101">
        <v>1</v>
      </c>
      <c r="T101" t="str">
        <f>_xlfn.CONCAT(Table_Trailer_Restock[[#This Row],[Macro Sort]]," ",Table_Trailer_Restock[[#This Row],[Location]])</f>
        <v>C02 Securing &amp; Supports</v>
      </c>
    </row>
    <row r="102" spans="1:20" x14ac:dyDescent="0.45">
      <c r="A102">
        <v>91</v>
      </c>
      <c r="B102" t="s">
        <v>240</v>
      </c>
      <c r="E102" t="s">
        <v>40</v>
      </c>
      <c r="F102" s="16" t="s">
        <v>241</v>
      </c>
      <c r="G102" s="16">
        <v>10</v>
      </c>
      <c r="H102" s="16">
        <v>10</v>
      </c>
      <c r="I102" t="s">
        <v>987</v>
      </c>
      <c r="J102" t="b">
        <v>1</v>
      </c>
      <c r="K102" t="b">
        <v>0</v>
      </c>
      <c r="L102" t="b">
        <v>1</v>
      </c>
      <c r="M102" s="9"/>
      <c r="N102" t="s">
        <v>239</v>
      </c>
      <c r="O102">
        <v>12</v>
      </c>
      <c r="P102">
        <v>4</v>
      </c>
      <c r="Q102" t="s">
        <v>848</v>
      </c>
      <c r="R102" t="str">
        <f>_xlfn.XLOOKUP(Table_Trailer_Restock[[#This Row],[Location]],Table_Trailer_Location[[Label ]],Table_Trailer_Location[Sort Order],"",0,1)</f>
        <v>C02</v>
      </c>
      <c r="S102">
        <v>2</v>
      </c>
      <c r="T102" t="str">
        <f>_xlfn.CONCAT(Table_Trailer_Restock[[#This Row],[Macro Sort]]," ",Table_Trailer_Restock[[#This Row],[Location]])</f>
        <v>C02 Securing &amp; Supports</v>
      </c>
    </row>
    <row r="103" spans="1:20" x14ac:dyDescent="0.45">
      <c r="A103">
        <v>92</v>
      </c>
      <c r="B103" t="s">
        <v>242</v>
      </c>
      <c r="E103" t="s">
        <v>40</v>
      </c>
      <c r="F103" s="16" t="s">
        <v>243</v>
      </c>
      <c r="G103" s="16">
        <v>50</v>
      </c>
      <c r="H103" s="16">
        <v>20</v>
      </c>
      <c r="I103" t="s">
        <v>988</v>
      </c>
      <c r="J103" t="b">
        <v>1</v>
      </c>
      <c r="K103" t="b">
        <v>0</v>
      </c>
      <c r="L103" t="b">
        <v>1</v>
      </c>
      <c r="M103" s="9"/>
      <c r="N103" t="s">
        <v>239</v>
      </c>
      <c r="O103" t="s">
        <v>885</v>
      </c>
      <c r="P103">
        <v>20</v>
      </c>
      <c r="Q103" t="s">
        <v>870</v>
      </c>
      <c r="R103" t="str">
        <f>_xlfn.XLOOKUP(Table_Trailer_Restock[[#This Row],[Location]],Table_Trailer_Location[[Label ]],Table_Trailer_Location[Sort Order],"",0,1)</f>
        <v>C02</v>
      </c>
      <c r="S103">
        <v>3</v>
      </c>
      <c r="T103" t="str">
        <f>_xlfn.CONCAT(Table_Trailer_Restock[[#This Row],[Macro Sort]]," ",Table_Trailer_Restock[[#This Row],[Location]])</f>
        <v>C02 Securing &amp; Supports</v>
      </c>
    </row>
    <row r="104" spans="1:20" x14ac:dyDescent="0.45">
      <c r="A104">
        <v>93</v>
      </c>
      <c r="B104" t="s">
        <v>244</v>
      </c>
      <c r="E104" t="s">
        <v>29</v>
      </c>
      <c r="F104" s="16">
        <v>1006959446</v>
      </c>
      <c r="G104" s="16">
        <v>20</v>
      </c>
      <c r="H104" s="16">
        <v>20</v>
      </c>
      <c r="I104" t="s">
        <v>989</v>
      </c>
      <c r="J104" t="b">
        <v>1</v>
      </c>
      <c r="K104" t="b">
        <v>0</v>
      </c>
      <c r="L104" t="b">
        <v>1</v>
      </c>
      <c r="M104" s="9"/>
      <c r="N104" t="s">
        <v>239</v>
      </c>
      <c r="O104">
        <v>20</v>
      </c>
      <c r="P104">
        <v>4</v>
      </c>
      <c r="Q104" t="s">
        <v>848</v>
      </c>
      <c r="R104" t="str">
        <f>_xlfn.XLOOKUP(Table_Trailer_Restock[[#This Row],[Location]],Table_Trailer_Location[[Label ]],Table_Trailer_Location[Sort Order],"",0,1)</f>
        <v>C02</v>
      </c>
      <c r="S104">
        <v>4</v>
      </c>
      <c r="T104" t="str">
        <f>_xlfn.CONCAT(Table_Trailer_Restock[[#This Row],[Macro Sort]]," ",Table_Trailer_Restock[[#This Row],[Location]])</f>
        <v>C02 Securing &amp; Supports</v>
      </c>
    </row>
    <row r="105" spans="1:20" x14ac:dyDescent="0.45">
      <c r="A105">
        <v>94</v>
      </c>
      <c r="B105" t="s">
        <v>245</v>
      </c>
      <c r="E105" t="s">
        <v>29</v>
      </c>
      <c r="F105" s="16" t="s">
        <v>247</v>
      </c>
      <c r="G105" s="16">
        <v>500</v>
      </c>
      <c r="H105" s="16">
        <v>100</v>
      </c>
      <c r="I105" t="s">
        <v>990</v>
      </c>
      <c r="J105" t="b">
        <v>1</v>
      </c>
      <c r="K105" t="b">
        <v>0</v>
      </c>
      <c r="L105" t="b">
        <v>1</v>
      </c>
      <c r="M105" s="9"/>
      <c r="N105" t="s">
        <v>239</v>
      </c>
      <c r="O105">
        <v>100</v>
      </c>
      <c r="P105">
        <v>25</v>
      </c>
      <c r="Q105" t="s">
        <v>848</v>
      </c>
      <c r="R105" t="str">
        <f>_xlfn.XLOOKUP(Table_Trailer_Restock[[#This Row],[Location]],Table_Trailer_Location[[Label ]],Table_Trailer_Location[Sort Order],"",0,1)</f>
        <v>C02</v>
      </c>
      <c r="S105">
        <v>5</v>
      </c>
      <c r="T105" t="str">
        <f>_xlfn.CONCAT(Table_Trailer_Restock[[#This Row],[Macro Sort]]," ",Table_Trailer_Restock[[#This Row],[Location]])</f>
        <v>C02 Securing &amp; Supports</v>
      </c>
    </row>
    <row r="106" spans="1:20" x14ac:dyDescent="0.45">
      <c r="A106">
        <v>95</v>
      </c>
      <c r="B106" t="s">
        <v>248</v>
      </c>
      <c r="E106" t="s">
        <v>249</v>
      </c>
      <c r="F106" s="16">
        <v>532</v>
      </c>
      <c r="G106" s="16">
        <v>100</v>
      </c>
      <c r="H106" s="16">
        <v>50</v>
      </c>
      <c r="I106" t="s">
        <v>991</v>
      </c>
      <c r="J106" t="b">
        <v>1</v>
      </c>
      <c r="K106" t="b">
        <v>0</v>
      </c>
      <c r="L106" t="b">
        <v>1</v>
      </c>
      <c r="M106" s="9"/>
      <c r="N106" t="s">
        <v>239</v>
      </c>
      <c r="O106">
        <v>75</v>
      </c>
      <c r="P106">
        <v>25</v>
      </c>
      <c r="Q106" t="s">
        <v>848</v>
      </c>
      <c r="R106" t="str">
        <f>_xlfn.XLOOKUP(Table_Trailer_Restock[[#This Row],[Location]],Table_Trailer_Location[[Label ]],Table_Trailer_Location[Sort Order],"",0,1)</f>
        <v>C02</v>
      </c>
      <c r="S106">
        <v>6</v>
      </c>
      <c r="T106" t="str">
        <f>_xlfn.CONCAT(Table_Trailer_Restock[[#This Row],[Macro Sort]]," ",Table_Trailer_Restock[[#This Row],[Location]])</f>
        <v>C02 Securing &amp; Supports</v>
      </c>
    </row>
    <row r="107" spans="1:20" x14ac:dyDescent="0.45">
      <c r="A107">
        <v>96</v>
      </c>
      <c r="B107" t="s">
        <v>250</v>
      </c>
      <c r="E107" t="s">
        <v>40</v>
      </c>
      <c r="F107" s="16" t="s">
        <v>252</v>
      </c>
      <c r="G107" s="16">
        <v>10</v>
      </c>
      <c r="H107" s="16">
        <v>10</v>
      </c>
      <c r="I107" t="s">
        <v>992</v>
      </c>
      <c r="J107" t="b">
        <v>1</v>
      </c>
      <c r="K107" t="b">
        <v>0</v>
      </c>
      <c r="L107" t="b">
        <v>1</v>
      </c>
      <c r="M107" s="9"/>
      <c r="N107" t="s">
        <v>239</v>
      </c>
      <c r="O107">
        <v>8</v>
      </c>
      <c r="P107">
        <v>4</v>
      </c>
      <c r="Q107" t="s">
        <v>848</v>
      </c>
      <c r="R107" t="str">
        <f>_xlfn.XLOOKUP(Table_Trailer_Restock[[#This Row],[Location]],Table_Trailer_Location[[Label ]],Table_Trailer_Location[Sort Order],"",0,1)</f>
        <v>C02</v>
      </c>
      <c r="S107">
        <v>7</v>
      </c>
      <c r="T107" t="str">
        <f>_xlfn.CONCAT(Table_Trailer_Restock[[#This Row],[Macro Sort]]," ",Table_Trailer_Restock[[#This Row],[Location]])</f>
        <v>C02 Securing &amp; Supports</v>
      </c>
    </row>
    <row r="108" spans="1:20" x14ac:dyDescent="0.45">
      <c r="A108">
        <v>97</v>
      </c>
      <c r="B108" t="s">
        <v>253</v>
      </c>
      <c r="E108" t="s">
        <v>40</v>
      </c>
      <c r="F108" s="16" t="s">
        <v>255</v>
      </c>
      <c r="G108" s="16">
        <v>10</v>
      </c>
      <c r="H108" s="16">
        <v>10</v>
      </c>
      <c r="I108" t="s">
        <v>993</v>
      </c>
      <c r="J108" t="b">
        <v>1</v>
      </c>
      <c r="K108" t="b">
        <v>0</v>
      </c>
      <c r="L108" t="b">
        <v>1</v>
      </c>
      <c r="M108" s="9"/>
      <c r="N108" t="s">
        <v>239</v>
      </c>
      <c r="O108">
        <v>8</v>
      </c>
      <c r="P108">
        <v>4</v>
      </c>
      <c r="Q108" t="s">
        <v>848</v>
      </c>
      <c r="R108" t="str">
        <f>_xlfn.XLOOKUP(Table_Trailer_Restock[[#This Row],[Location]],Table_Trailer_Location[[Label ]],Table_Trailer_Location[Sort Order],"",0,1)</f>
        <v>C02</v>
      </c>
      <c r="S108">
        <v>8</v>
      </c>
      <c r="T108" t="str">
        <f>_xlfn.CONCAT(Table_Trailer_Restock[[#This Row],[Macro Sort]]," ",Table_Trailer_Restock[[#This Row],[Location]])</f>
        <v>C02 Securing &amp; Supports</v>
      </c>
    </row>
    <row r="109" spans="1:20" x14ac:dyDescent="0.45">
      <c r="A109">
        <v>98</v>
      </c>
      <c r="B109" t="s">
        <v>256</v>
      </c>
      <c r="E109" t="s">
        <v>29</v>
      </c>
      <c r="F109" s="16">
        <v>1005812473</v>
      </c>
      <c r="G109" s="16">
        <v>5</v>
      </c>
      <c r="H109" s="16">
        <v>5</v>
      </c>
      <c r="I109" t="s">
        <v>994</v>
      </c>
      <c r="J109" t="b">
        <v>1</v>
      </c>
      <c r="K109" t="b">
        <v>1</v>
      </c>
      <c r="L109" t="b">
        <v>0</v>
      </c>
      <c r="M109" s="9"/>
      <c r="N109" t="s">
        <v>258</v>
      </c>
      <c r="O109">
        <v>4</v>
      </c>
      <c r="P109">
        <v>2</v>
      </c>
      <c r="Q109" t="s">
        <v>848</v>
      </c>
      <c r="R109" t="str">
        <f>_xlfn.XLOOKUP(Table_Trailer_Restock[[#This Row],[Location]],Table_Trailer_Location[[Label ]],Table_Trailer_Location[Sort Order],"",0,1)</f>
        <v>T01</v>
      </c>
      <c r="S109">
        <v>1</v>
      </c>
      <c r="T109" t="str">
        <f>_xlfn.CONCAT(Table_Trailer_Restock[[#This Row],[Macro Sort]]," ",Table_Trailer_Restock[[#This Row],[Location]])</f>
        <v>T01 Blades</v>
      </c>
    </row>
    <row r="110" spans="1:20" x14ac:dyDescent="0.45">
      <c r="A110">
        <v>99</v>
      </c>
      <c r="B110" t="s">
        <v>260</v>
      </c>
      <c r="E110" t="s">
        <v>29</v>
      </c>
      <c r="F110" s="16">
        <v>1000010438</v>
      </c>
      <c r="G110" s="16">
        <v>2</v>
      </c>
      <c r="H110" s="16">
        <v>2</v>
      </c>
      <c r="I110" t="s">
        <v>995</v>
      </c>
      <c r="J110" t="b">
        <v>1</v>
      </c>
      <c r="K110" t="b">
        <v>1</v>
      </c>
      <c r="L110" t="b">
        <v>0</v>
      </c>
      <c r="M110" s="9"/>
      <c r="N110" t="s">
        <v>258</v>
      </c>
      <c r="O110">
        <v>1</v>
      </c>
      <c r="Q110" t="s">
        <v>848</v>
      </c>
      <c r="R110" t="str">
        <f>_xlfn.XLOOKUP(Table_Trailer_Restock[[#This Row],[Location]],Table_Trailer_Location[[Label ]],Table_Trailer_Location[Sort Order],"",0,1)</f>
        <v>T01</v>
      </c>
      <c r="S110">
        <v>2</v>
      </c>
      <c r="T110" t="str">
        <f>_xlfn.CONCAT(Table_Trailer_Restock[[#This Row],[Macro Sort]]," ",Table_Trailer_Restock[[#This Row],[Location]])</f>
        <v>T01 Blades</v>
      </c>
    </row>
    <row r="111" spans="1:20" x14ac:dyDescent="0.45">
      <c r="A111">
        <v>100</v>
      </c>
      <c r="B111" t="s">
        <v>261</v>
      </c>
      <c r="E111" t="s">
        <v>29</v>
      </c>
      <c r="F111" s="16">
        <v>1000040984</v>
      </c>
      <c r="G111" s="16" t="s">
        <v>121</v>
      </c>
      <c r="H111" s="16" t="s">
        <v>121</v>
      </c>
      <c r="I111" t="s">
        <v>996</v>
      </c>
      <c r="J111" t="b">
        <v>1</v>
      </c>
      <c r="K111" t="b">
        <v>1</v>
      </c>
      <c r="L111" t="b">
        <v>0</v>
      </c>
      <c r="M111" s="9"/>
      <c r="N111" t="s">
        <v>258</v>
      </c>
      <c r="O111">
        <v>25</v>
      </c>
      <c r="P111">
        <v>4</v>
      </c>
      <c r="Q111" t="s">
        <v>848</v>
      </c>
      <c r="R111" t="str">
        <f>_xlfn.XLOOKUP(Table_Trailer_Restock[[#This Row],[Location]],Table_Trailer_Location[[Label ]],Table_Trailer_Location[Sort Order],"",0,1)</f>
        <v>T01</v>
      </c>
      <c r="S111">
        <v>3</v>
      </c>
      <c r="T111" t="str">
        <f>_xlfn.CONCAT(Table_Trailer_Restock[[#This Row],[Macro Sort]]," ",Table_Trailer_Restock[[#This Row],[Location]])</f>
        <v>T01 Blades</v>
      </c>
    </row>
    <row r="112" spans="1:20" x14ac:dyDescent="0.45">
      <c r="A112">
        <v>101</v>
      </c>
      <c r="B112" t="s">
        <v>263</v>
      </c>
      <c r="E112" t="s">
        <v>265</v>
      </c>
      <c r="F112" s="16">
        <v>402569</v>
      </c>
      <c r="G112" s="16">
        <v>6</v>
      </c>
      <c r="H112" s="16">
        <v>3</v>
      </c>
      <c r="I112" t="s">
        <v>997</v>
      </c>
      <c r="J112" t="b">
        <v>1</v>
      </c>
      <c r="K112" t="b">
        <v>1</v>
      </c>
      <c r="L112" t="b">
        <v>0</v>
      </c>
      <c r="M112" s="9"/>
      <c r="N112" t="s">
        <v>258</v>
      </c>
      <c r="O112">
        <v>3</v>
      </c>
      <c r="P112">
        <v>1</v>
      </c>
      <c r="Q112" t="s">
        <v>848</v>
      </c>
      <c r="R112" t="str">
        <f>_xlfn.XLOOKUP(Table_Trailer_Restock[[#This Row],[Location]],Table_Trailer_Location[[Label ]],Table_Trailer_Location[Sort Order],"",0,1)</f>
        <v>T01</v>
      </c>
      <c r="S112">
        <v>4</v>
      </c>
      <c r="T112" t="str">
        <f>_xlfn.CONCAT(Table_Trailer_Restock[[#This Row],[Macro Sort]]," ",Table_Trailer_Restock[[#This Row],[Location]])</f>
        <v>T01 Blades</v>
      </c>
    </row>
    <row r="113" spans="1:20" x14ac:dyDescent="0.45">
      <c r="A113">
        <v>102</v>
      </c>
      <c r="B113" t="s">
        <v>266</v>
      </c>
      <c r="E113" t="s">
        <v>29</v>
      </c>
      <c r="F113" s="16" t="s">
        <v>268</v>
      </c>
      <c r="G113" s="16">
        <v>10</v>
      </c>
      <c r="H113" s="16">
        <v>5</v>
      </c>
      <c r="I113" t="s">
        <v>998</v>
      </c>
      <c r="J113" t="b">
        <v>1</v>
      </c>
      <c r="K113" t="b">
        <v>1</v>
      </c>
      <c r="L113" t="b">
        <v>0</v>
      </c>
      <c r="M113" s="9"/>
      <c r="N113" t="s">
        <v>258</v>
      </c>
      <c r="O113">
        <v>4</v>
      </c>
      <c r="P113">
        <v>2</v>
      </c>
      <c r="Q113" t="s">
        <v>848</v>
      </c>
      <c r="R113" t="str">
        <f>_xlfn.XLOOKUP(Table_Trailer_Restock[[#This Row],[Location]],Table_Trailer_Location[[Label ]],Table_Trailer_Location[Sort Order],"",0,1)</f>
        <v>T01</v>
      </c>
      <c r="S113">
        <v>5</v>
      </c>
      <c r="T113" t="str">
        <f>_xlfn.CONCAT(Table_Trailer_Restock[[#This Row],[Macro Sort]]," ",Table_Trailer_Restock[[#This Row],[Location]])</f>
        <v>T01 Blades</v>
      </c>
    </row>
    <row r="114" spans="1:20" x14ac:dyDescent="0.45">
      <c r="A114">
        <v>103</v>
      </c>
      <c r="B114" t="s">
        <v>269</v>
      </c>
      <c r="E114" t="s">
        <v>29</v>
      </c>
      <c r="F114" s="16" t="s">
        <v>270</v>
      </c>
      <c r="G114" s="16">
        <v>10</v>
      </c>
      <c r="H114" s="16">
        <v>5</v>
      </c>
      <c r="I114" t="s">
        <v>999</v>
      </c>
      <c r="J114" t="b">
        <v>1</v>
      </c>
      <c r="K114" t="b">
        <v>1</v>
      </c>
      <c r="L114" t="b">
        <v>0</v>
      </c>
      <c r="M114" s="9"/>
      <c r="N114" t="s">
        <v>258</v>
      </c>
      <c r="O114">
        <v>4</v>
      </c>
      <c r="P114">
        <v>2</v>
      </c>
      <c r="Q114" t="s">
        <v>848</v>
      </c>
      <c r="R114" t="str">
        <f>_xlfn.XLOOKUP(Table_Trailer_Restock[[#This Row],[Location]],Table_Trailer_Location[[Label ]],Table_Trailer_Location[Sort Order],"",0,1)</f>
        <v>T01</v>
      </c>
      <c r="S114">
        <v>6</v>
      </c>
      <c r="T114" t="str">
        <f>_xlfn.CONCAT(Table_Trailer_Restock[[#This Row],[Macro Sort]]," ",Table_Trailer_Restock[[#This Row],[Location]])</f>
        <v>T01 Blades</v>
      </c>
    </row>
    <row r="115" spans="1:20" x14ac:dyDescent="0.45">
      <c r="A115">
        <v>104</v>
      </c>
      <c r="B115" t="s">
        <v>271</v>
      </c>
      <c r="E115" t="s">
        <v>29</v>
      </c>
      <c r="F115" s="16" t="s">
        <v>273</v>
      </c>
      <c r="G115" s="16">
        <v>10</v>
      </c>
      <c r="H115" s="16">
        <v>5</v>
      </c>
      <c r="I115" t="s">
        <v>1000</v>
      </c>
      <c r="J115" t="b">
        <v>1</v>
      </c>
      <c r="K115" t="b">
        <v>1</v>
      </c>
      <c r="L115" t="b">
        <v>0</v>
      </c>
      <c r="M115" s="9"/>
      <c r="N115" t="s">
        <v>258</v>
      </c>
      <c r="O115">
        <v>4</v>
      </c>
      <c r="P115">
        <v>2</v>
      </c>
      <c r="Q115" t="s">
        <v>848</v>
      </c>
      <c r="R115" t="str">
        <f>_xlfn.XLOOKUP(Table_Trailer_Restock[[#This Row],[Location]],Table_Trailer_Location[[Label ]],Table_Trailer_Location[Sort Order],"",0,1)</f>
        <v>T01</v>
      </c>
      <c r="S115">
        <v>7</v>
      </c>
      <c r="T115" t="str">
        <f>_xlfn.CONCAT(Table_Trailer_Restock[[#This Row],[Macro Sort]]," ",Table_Trailer_Restock[[#This Row],[Location]])</f>
        <v>T01 Blades</v>
      </c>
    </row>
    <row r="116" spans="1:20" x14ac:dyDescent="0.45">
      <c r="A116">
        <v>105</v>
      </c>
      <c r="B116" t="s">
        <v>274</v>
      </c>
      <c r="E116" t="s">
        <v>29</v>
      </c>
      <c r="F116" s="16" t="s">
        <v>275</v>
      </c>
      <c r="G116" s="16">
        <v>10</v>
      </c>
      <c r="H116" s="16">
        <v>5</v>
      </c>
      <c r="I116" t="s">
        <v>1001</v>
      </c>
      <c r="J116" t="b">
        <v>1</v>
      </c>
      <c r="K116" t="b">
        <v>1</v>
      </c>
      <c r="L116" t="b">
        <v>0</v>
      </c>
      <c r="M116" s="9"/>
      <c r="N116" t="s">
        <v>258</v>
      </c>
      <c r="O116">
        <v>4</v>
      </c>
      <c r="P116">
        <v>2</v>
      </c>
      <c r="Q116" t="s">
        <v>848</v>
      </c>
      <c r="R116" t="str">
        <f>_xlfn.XLOOKUP(Table_Trailer_Restock[[#This Row],[Location]],Table_Trailer_Location[[Label ]],Table_Trailer_Location[Sort Order],"",0,1)</f>
        <v>T01</v>
      </c>
      <c r="S116">
        <v>8</v>
      </c>
      <c r="T116" t="str">
        <f>_xlfn.CONCAT(Table_Trailer_Restock[[#This Row],[Macro Sort]]," ",Table_Trailer_Restock[[#This Row],[Location]])</f>
        <v>T01 Blades</v>
      </c>
    </row>
    <row r="117" spans="1:20" x14ac:dyDescent="0.45">
      <c r="A117">
        <v>106</v>
      </c>
      <c r="B117" t="s">
        <v>276</v>
      </c>
      <c r="E117" t="s">
        <v>29</v>
      </c>
      <c r="F117" s="16" t="s">
        <v>279</v>
      </c>
      <c r="G117" s="16">
        <v>4</v>
      </c>
      <c r="H117" s="16">
        <v>3</v>
      </c>
      <c r="I117" t="s">
        <v>1002</v>
      </c>
      <c r="J117" t="b">
        <v>1</v>
      </c>
      <c r="K117" t="b">
        <v>1</v>
      </c>
      <c r="L117" t="b">
        <v>0</v>
      </c>
      <c r="M117" s="9"/>
      <c r="N117" t="s">
        <v>881</v>
      </c>
      <c r="O117">
        <v>1</v>
      </c>
      <c r="Q117" t="s">
        <v>848</v>
      </c>
      <c r="R117" t="str">
        <f>_xlfn.XLOOKUP(Table_Trailer_Restock[[#This Row],[Location]],Table_Trailer_Location[[Label ]],Table_Trailer_Location[Sort Order],"",0,1)</f>
        <v>T02</v>
      </c>
      <c r="S117">
        <v>1</v>
      </c>
      <c r="T117" t="str">
        <f>_xlfn.CONCAT(Table_Trailer_Restock[[#This Row],[Macro Sort]]," ",Table_Trailer_Restock[[#This Row],[Location]])</f>
        <v>T02 Cleanliness Supplies</v>
      </c>
    </row>
    <row r="118" spans="1:20" x14ac:dyDescent="0.45">
      <c r="A118">
        <v>107</v>
      </c>
      <c r="B118" t="s">
        <v>280</v>
      </c>
      <c r="E118" t="s">
        <v>29</v>
      </c>
      <c r="F118" s="16">
        <v>1001879523</v>
      </c>
      <c r="G118" s="16" t="s">
        <v>281</v>
      </c>
      <c r="H118" s="16" t="s">
        <v>89</v>
      </c>
      <c r="I118" t="s">
        <v>1003</v>
      </c>
      <c r="J118" t="b">
        <v>1</v>
      </c>
      <c r="K118" t="b">
        <v>1</v>
      </c>
      <c r="L118" t="b">
        <v>0</v>
      </c>
      <c r="M118" s="9"/>
      <c r="N118" t="s">
        <v>881</v>
      </c>
      <c r="O118">
        <v>1</v>
      </c>
      <c r="Q118" t="s">
        <v>848</v>
      </c>
      <c r="R118" t="str">
        <f>_xlfn.XLOOKUP(Table_Trailer_Restock[[#This Row],[Location]],Table_Trailer_Location[[Label ]],Table_Trailer_Location[Sort Order],"",0,1)</f>
        <v>T02</v>
      </c>
      <c r="S118">
        <v>2</v>
      </c>
      <c r="T118" t="str">
        <f>_xlfn.CONCAT(Table_Trailer_Restock[[#This Row],[Macro Sort]]," ",Table_Trailer_Restock[[#This Row],[Location]])</f>
        <v>T02 Cleanliness Supplies</v>
      </c>
    </row>
    <row r="119" spans="1:20" x14ac:dyDescent="0.45">
      <c r="A119">
        <v>108</v>
      </c>
      <c r="B119" t="s">
        <v>282</v>
      </c>
      <c r="E119" t="s">
        <v>29</v>
      </c>
      <c r="F119" s="16">
        <v>267000</v>
      </c>
      <c r="G119" s="16" t="s">
        <v>284</v>
      </c>
      <c r="H119" s="16" t="s">
        <v>284</v>
      </c>
      <c r="I119" t="s">
        <v>1004</v>
      </c>
      <c r="J119" t="b">
        <v>1</v>
      </c>
      <c r="K119" t="b">
        <v>1</v>
      </c>
      <c r="L119" t="b">
        <v>0</v>
      </c>
      <c r="M119" s="9"/>
      <c r="N119" t="s">
        <v>881</v>
      </c>
      <c r="O119" t="s">
        <v>116</v>
      </c>
      <c r="Q119" t="s">
        <v>848</v>
      </c>
      <c r="R119" t="str">
        <f>_xlfn.XLOOKUP(Table_Trailer_Restock[[#This Row],[Location]],Table_Trailer_Location[[Label ]],Table_Trailer_Location[Sort Order],"",0,1)</f>
        <v>T02</v>
      </c>
      <c r="S119">
        <v>3</v>
      </c>
      <c r="T119" t="str">
        <f>_xlfn.CONCAT(Table_Trailer_Restock[[#This Row],[Macro Sort]]," ",Table_Trailer_Restock[[#This Row],[Location]])</f>
        <v>T02 Cleanliness Supplies</v>
      </c>
    </row>
    <row r="120" spans="1:20" x14ac:dyDescent="0.45">
      <c r="A120">
        <v>109</v>
      </c>
      <c r="B120" t="s">
        <v>285</v>
      </c>
      <c r="E120" t="s">
        <v>287</v>
      </c>
      <c r="F120" s="16" t="s">
        <v>288</v>
      </c>
      <c r="G120" s="16">
        <v>4</v>
      </c>
      <c r="H120" s="16">
        <v>4</v>
      </c>
      <c r="I120" t="s">
        <v>1005</v>
      </c>
      <c r="J120" t="b">
        <v>1</v>
      </c>
      <c r="K120" t="b">
        <v>1</v>
      </c>
      <c r="L120" t="b">
        <v>0</v>
      </c>
      <c r="M120" s="9"/>
      <c r="N120" t="s">
        <v>881</v>
      </c>
      <c r="O120">
        <v>2</v>
      </c>
      <c r="P120">
        <v>1</v>
      </c>
      <c r="Q120" t="s">
        <v>848</v>
      </c>
      <c r="R120" t="str">
        <f>_xlfn.XLOOKUP(Table_Trailer_Restock[[#This Row],[Location]],Table_Trailer_Location[[Label ]],Table_Trailer_Location[Sort Order],"",0,1)</f>
        <v>T02</v>
      </c>
      <c r="S120">
        <v>4</v>
      </c>
      <c r="T120" t="str">
        <f>_xlfn.CONCAT(Table_Trailer_Restock[[#This Row],[Macro Sort]]," ",Table_Trailer_Restock[[#This Row],[Location]])</f>
        <v>T02 Cleanliness Supplies</v>
      </c>
    </row>
    <row r="121" spans="1:20" x14ac:dyDescent="0.45">
      <c r="A121">
        <v>110</v>
      </c>
      <c r="B121" t="s">
        <v>289</v>
      </c>
      <c r="E121" t="s">
        <v>29</v>
      </c>
      <c r="F121" s="16">
        <v>805513</v>
      </c>
      <c r="G121" s="16">
        <v>4</v>
      </c>
      <c r="H121" s="16">
        <v>1</v>
      </c>
      <c r="I121" t="s">
        <v>1006</v>
      </c>
      <c r="J121" t="b">
        <v>1</v>
      </c>
      <c r="K121" t="b">
        <v>1</v>
      </c>
      <c r="L121" t="b">
        <v>0</v>
      </c>
      <c r="M121" s="9"/>
      <c r="N121" t="s">
        <v>881</v>
      </c>
      <c r="O121">
        <v>1</v>
      </c>
      <c r="Q121" t="s">
        <v>848</v>
      </c>
      <c r="R121" t="str">
        <f>_xlfn.XLOOKUP(Table_Trailer_Restock[[#This Row],[Location]],Table_Trailer_Location[[Label ]],Table_Trailer_Location[Sort Order],"",0,1)</f>
        <v>T02</v>
      </c>
      <c r="S121">
        <v>5</v>
      </c>
      <c r="T121" t="str">
        <f>_xlfn.CONCAT(Table_Trailer_Restock[[#This Row],[Macro Sort]]," ",Table_Trailer_Restock[[#This Row],[Location]])</f>
        <v>T02 Cleanliness Supplies</v>
      </c>
    </row>
    <row r="122" spans="1:20" x14ac:dyDescent="0.45">
      <c r="A122">
        <v>111</v>
      </c>
      <c r="B122" t="s">
        <v>291</v>
      </c>
      <c r="E122" t="s">
        <v>29</v>
      </c>
      <c r="F122" s="16">
        <v>313008958</v>
      </c>
      <c r="G122" s="16" t="s">
        <v>120</v>
      </c>
      <c r="H122" s="16" t="s">
        <v>121</v>
      </c>
      <c r="I122" t="s">
        <v>1007</v>
      </c>
      <c r="J122" t="b">
        <v>1</v>
      </c>
      <c r="K122" t="b">
        <v>1</v>
      </c>
      <c r="L122" t="b">
        <v>0</v>
      </c>
      <c r="M122" s="9"/>
      <c r="N122" t="s">
        <v>881</v>
      </c>
      <c r="O122">
        <v>4</v>
      </c>
      <c r="P122">
        <v>1</v>
      </c>
      <c r="Q122" t="s">
        <v>848</v>
      </c>
      <c r="R122" t="str">
        <f>_xlfn.XLOOKUP(Table_Trailer_Restock[[#This Row],[Location]],Table_Trailer_Location[[Label ]],Table_Trailer_Location[Sort Order],"",0,1)</f>
        <v>T02</v>
      </c>
      <c r="S122">
        <v>6</v>
      </c>
      <c r="T122" t="str">
        <f>_xlfn.CONCAT(Table_Trailer_Restock[[#This Row],[Macro Sort]]," ",Table_Trailer_Restock[[#This Row],[Location]])</f>
        <v>T02 Cleanliness Supplies</v>
      </c>
    </row>
    <row r="123" spans="1:20" x14ac:dyDescent="0.45">
      <c r="A123">
        <v>112</v>
      </c>
      <c r="B123" t="s">
        <v>292</v>
      </c>
      <c r="E123" t="s">
        <v>29</v>
      </c>
      <c r="F123" s="16">
        <v>204711644</v>
      </c>
      <c r="G123" s="16">
        <v>4</v>
      </c>
      <c r="H123" s="16" t="s">
        <v>294</v>
      </c>
      <c r="I123" t="s">
        <v>1008</v>
      </c>
      <c r="J123" t="b">
        <v>1</v>
      </c>
      <c r="K123" t="b">
        <v>1</v>
      </c>
      <c r="L123" t="b">
        <v>0</v>
      </c>
      <c r="M123" s="9"/>
      <c r="N123" t="s">
        <v>881</v>
      </c>
      <c r="O123">
        <v>1</v>
      </c>
      <c r="Q123" t="s">
        <v>848</v>
      </c>
      <c r="R123" t="str">
        <f>_xlfn.XLOOKUP(Table_Trailer_Restock[[#This Row],[Location]],Table_Trailer_Location[[Label ]],Table_Trailer_Location[Sort Order],"",0,1)</f>
        <v>T02</v>
      </c>
      <c r="S123">
        <v>7</v>
      </c>
      <c r="T123" t="str">
        <f>_xlfn.CONCAT(Table_Trailer_Restock[[#This Row],[Macro Sort]]," ",Table_Trailer_Restock[[#This Row],[Location]])</f>
        <v>T02 Cleanliness Supplies</v>
      </c>
    </row>
    <row r="124" spans="1:20" x14ac:dyDescent="0.45">
      <c r="A124">
        <v>113</v>
      </c>
      <c r="B124" t="s">
        <v>295</v>
      </c>
      <c r="E124" t="s">
        <v>29</v>
      </c>
      <c r="F124" s="16">
        <v>1001546627</v>
      </c>
      <c r="G124" s="16" t="s">
        <v>284</v>
      </c>
      <c r="H124" s="16" t="s">
        <v>284</v>
      </c>
      <c r="I124" t="s">
        <v>1009</v>
      </c>
      <c r="J124" t="b">
        <v>1</v>
      </c>
      <c r="K124" t="b">
        <v>1</v>
      </c>
      <c r="L124" t="b">
        <v>0</v>
      </c>
      <c r="M124" s="9"/>
      <c r="N124" t="s">
        <v>881</v>
      </c>
      <c r="O124" t="s">
        <v>116</v>
      </c>
      <c r="Q124" t="s">
        <v>848</v>
      </c>
      <c r="R124" t="str">
        <f>_xlfn.XLOOKUP(Table_Trailer_Restock[[#This Row],[Location]],Table_Trailer_Location[[Label ]],Table_Trailer_Location[Sort Order],"",0,1)</f>
        <v>T02</v>
      </c>
      <c r="S124">
        <v>8</v>
      </c>
      <c r="T124" t="str">
        <f>_xlfn.CONCAT(Table_Trailer_Restock[[#This Row],[Macro Sort]]," ",Table_Trailer_Restock[[#This Row],[Location]])</f>
        <v>T02 Cleanliness Supplies</v>
      </c>
    </row>
    <row r="125" spans="1:20" x14ac:dyDescent="0.45">
      <c r="A125">
        <v>114</v>
      </c>
      <c r="B125" t="s">
        <v>296</v>
      </c>
      <c r="E125" t="s">
        <v>29</v>
      </c>
      <c r="F125" s="16">
        <v>391756</v>
      </c>
      <c r="G125" s="16" t="s">
        <v>120</v>
      </c>
      <c r="H125" s="16" t="s">
        <v>297</v>
      </c>
      <c r="I125" t="s">
        <v>1010</v>
      </c>
      <c r="J125" t="b">
        <v>1</v>
      </c>
      <c r="K125" t="b">
        <v>1</v>
      </c>
      <c r="L125" t="b">
        <v>0</v>
      </c>
      <c r="M125" s="9"/>
      <c r="N125" t="s">
        <v>881</v>
      </c>
      <c r="O125">
        <v>20</v>
      </c>
      <c r="P125">
        <v>6</v>
      </c>
      <c r="Q125" t="s">
        <v>848</v>
      </c>
      <c r="R125" t="str">
        <f>_xlfn.XLOOKUP(Table_Trailer_Restock[[#This Row],[Location]],Table_Trailer_Location[[Label ]],Table_Trailer_Location[Sort Order],"",0,1)</f>
        <v>T02</v>
      </c>
      <c r="S125">
        <v>9</v>
      </c>
      <c r="T125" t="str">
        <f>_xlfn.CONCAT(Table_Trailer_Restock[[#This Row],[Macro Sort]]," ",Table_Trailer_Restock[[#This Row],[Location]])</f>
        <v>T02 Cleanliness Supplies</v>
      </c>
    </row>
    <row r="126" spans="1:20" x14ac:dyDescent="0.45">
      <c r="A126">
        <v>115</v>
      </c>
      <c r="B126" t="s">
        <v>298</v>
      </c>
      <c r="E126" t="s">
        <v>40</v>
      </c>
      <c r="F126" s="16" t="s">
        <v>302</v>
      </c>
      <c r="G126" s="16">
        <v>2</v>
      </c>
      <c r="H126" s="16">
        <v>2</v>
      </c>
      <c r="I126" t="s">
        <v>1011</v>
      </c>
      <c r="J126" t="b">
        <v>1</v>
      </c>
      <c r="K126" t="b">
        <v>1</v>
      </c>
      <c r="L126" t="b">
        <v>0</v>
      </c>
      <c r="M126" s="9"/>
      <c r="N126" t="s">
        <v>300</v>
      </c>
      <c r="O126">
        <v>1</v>
      </c>
      <c r="Q126" t="s">
        <v>848</v>
      </c>
      <c r="R126" t="str">
        <f>_xlfn.XLOOKUP(Table_Trailer_Restock[[#This Row],[Location]],Table_Trailer_Location[[Label ]],Table_Trailer_Location[Sort Order],"",0,1)</f>
        <v>T03</v>
      </c>
      <c r="S126">
        <v>1</v>
      </c>
      <c r="T126" t="str">
        <f>_xlfn.CONCAT(Table_Trailer_Restock[[#This Row],[Macro Sort]]," ",Table_Trailer_Restock[[#This Row],[Location]])</f>
        <v>T03 Condensate</v>
      </c>
    </row>
    <row r="127" spans="1:20" x14ac:dyDescent="0.45">
      <c r="A127">
        <v>116</v>
      </c>
      <c r="B127" t="s">
        <v>303</v>
      </c>
      <c r="E127" t="s">
        <v>101</v>
      </c>
      <c r="F127" s="16" t="s">
        <v>307</v>
      </c>
      <c r="G127" s="16" t="s">
        <v>308</v>
      </c>
      <c r="H127" s="16" t="s">
        <v>309</v>
      </c>
      <c r="I127" t="s">
        <v>1012</v>
      </c>
      <c r="J127" t="b">
        <v>1</v>
      </c>
      <c r="K127" t="b">
        <v>1</v>
      </c>
      <c r="L127" t="b">
        <v>0</v>
      </c>
      <c r="M127" s="9"/>
      <c r="N127" t="s">
        <v>304</v>
      </c>
      <c r="O127">
        <v>50</v>
      </c>
      <c r="P127">
        <v>25</v>
      </c>
      <c r="Q127" t="s">
        <v>848</v>
      </c>
      <c r="R127" t="str">
        <f>_xlfn.XLOOKUP(Table_Trailer_Restock[[#This Row],[Location]],Table_Trailer_Location[[Label ]],Table_Trailer_Location[Sort Order],"",0,1)</f>
        <v>T04</v>
      </c>
      <c r="S127">
        <v>1</v>
      </c>
      <c r="T127" t="str">
        <f>_xlfn.CONCAT(Table_Trailer_Restock[[#This Row],[Macro Sort]]," ",Table_Trailer_Restock[[#This Row],[Location]])</f>
        <v>T04 Ductwork</v>
      </c>
    </row>
    <row r="128" spans="1:20" x14ac:dyDescent="0.45">
      <c r="A128">
        <v>117</v>
      </c>
      <c r="B128" t="s">
        <v>310</v>
      </c>
      <c r="E128" t="s">
        <v>312</v>
      </c>
      <c r="F128" s="16"/>
      <c r="G128" s="16">
        <v>20</v>
      </c>
      <c r="H128" s="16">
        <v>10</v>
      </c>
      <c r="I128" t="s">
        <v>1013</v>
      </c>
      <c r="J128" t="b">
        <v>1</v>
      </c>
      <c r="K128" t="b">
        <v>1</v>
      </c>
      <c r="L128" t="b">
        <v>0</v>
      </c>
      <c r="M128" s="9"/>
      <c r="N128" t="s">
        <v>304</v>
      </c>
      <c r="O128">
        <v>4</v>
      </c>
      <c r="P128">
        <v>2</v>
      </c>
      <c r="Q128" t="s">
        <v>848</v>
      </c>
      <c r="R128" t="str">
        <f>_xlfn.XLOOKUP(Table_Trailer_Restock[[#This Row],[Location]],Table_Trailer_Location[[Label ]],Table_Trailer_Location[Sort Order],"",0,1)</f>
        <v>T04</v>
      </c>
      <c r="S128">
        <v>2</v>
      </c>
      <c r="T128" t="str">
        <f>_xlfn.CONCAT(Table_Trailer_Restock[[#This Row],[Macro Sort]]," ",Table_Trailer_Restock[[#This Row],[Location]])</f>
        <v>T04 Ductwork</v>
      </c>
    </row>
    <row r="129" spans="1:20" x14ac:dyDescent="0.45">
      <c r="A129">
        <v>118</v>
      </c>
      <c r="B129" t="s">
        <v>313</v>
      </c>
      <c r="E129" t="s">
        <v>312</v>
      </c>
      <c r="F129" s="16" t="s">
        <v>306</v>
      </c>
      <c r="G129" s="16">
        <v>20</v>
      </c>
      <c r="H129" s="16">
        <v>10</v>
      </c>
      <c r="I129" t="s">
        <v>1014</v>
      </c>
      <c r="J129" t="b">
        <v>1</v>
      </c>
      <c r="K129" t="b">
        <v>1</v>
      </c>
      <c r="L129" t="b">
        <v>0</v>
      </c>
      <c r="M129" s="9"/>
      <c r="N129" t="s">
        <v>304</v>
      </c>
      <c r="O129">
        <v>2</v>
      </c>
      <c r="Q129" t="s">
        <v>848</v>
      </c>
      <c r="R129" t="str">
        <f>_xlfn.XLOOKUP(Table_Trailer_Restock[[#This Row],[Location]],Table_Trailer_Location[[Label ]],Table_Trailer_Location[Sort Order],"",0,1)</f>
        <v>T04</v>
      </c>
      <c r="S129">
        <v>3</v>
      </c>
      <c r="T129" t="str">
        <f>_xlfn.CONCAT(Table_Trailer_Restock[[#This Row],[Macro Sort]]," ",Table_Trailer_Restock[[#This Row],[Location]])</f>
        <v>T04 Ductwork</v>
      </c>
    </row>
    <row r="130" spans="1:20" x14ac:dyDescent="0.45">
      <c r="A130">
        <v>119</v>
      </c>
      <c r="B130" t="s">
        <v>314</v>
      </c>
      <c r="E130" t="s">
        <v>101</v>
      </c>
      <c r="F130" s="16" t="s">
        <v>316</v>
      </c>
      <c r="G130" s="16" t="s">
        <v>128</v>
      </c>
      <c r="H130" s="16" t="s">
        <v>128</v>
      </c>
      <c r="I130" t="s">
        <v>1015</v>
      </c>
      <c r="J130" t="b">
        <v>1</v>
      </c>
      <c r="K130" t="b">
        <v>1</v>
      </c>
      <c r="L130" t="b">
        <v>0</v>
      </c>
      <c r="M130" s="9"/>
      <c r="N130" t="s">
        <v>304</v>
      </c>
      <c r="O130">
        <v>2</v>
      </c>
      <c r="P130">
        <v>1</v>
      </c>
      <c r="Q130" t="s">
        <v>848</v>
      </c>
      <c r="R130" t="str">
        <f>_xlfn.XLOOKUP(Table_Trailer_Restock[[#This Row],[Location]],Table_Trailer_Location[[Label ]],Table_Trailer_Location[Sort Order],"",0,1)</f>
        <v>T04</v>
      </c>
      <c r="S130">
        <v>4</v>
      </c>
      <c r="T130" t="str">
        <f>_xlfn.CONCAT(Table_Trailer_Restock[[#This Row],[Macro Sort]]," ",Table_Trailer_Restock[[#This Row],[Location]])</f>
        <v>T04 Ductwork</v>
      </c>
    </row>
    <row r="131" spans="1:20" x14ac:dyDescent="0.45">
      <c r="A131">
        <v>120</v>
      </c>
      <c r="B131" t="s">
        <v>317</v>
      </c>
      <c r="E131" t="s">
        <v>40</v>
      </c>
      <c r="F131" s="16">
        <v>33927</v>
      </c>
      <c r="G131" s="16" t="s">
        <v>128</v>
      </c>
      <c r="H131" s="16" t="s">
        <v>128</v>
      </c>
      <c r="I131" t="s">
        <v>1016</v>
      </c>
      <c r="J131" t="b">
        <v>1</v>
      </c>
      <c r="K131" t="b">
        <v>1</v>
      </c>
      <c r="L131" t="b">
        <v>0</v>
      </c>
      <c r="M131" s="9"/>
      <c r="N131" t="s">
        <v>304</v>
      </c>
      <c r="O131">
        <v>2</v>
      </c>
      <c r="P131">
        <v>1</v>
      </c>
      <c r="Q131" t="s">
        <v>848</v>
      </c>
      <c r="R131" t="str">
        <f>_xlfn.XLOOKUP(Table_Trailer_Restock[[#This Row],[Location]],Table_Trailer_Location[[Label ]],Table_Trailer_Location[Sort Order],"",0,1)</f>
        <v>T04</v>
      </c>
      <c r="S131">
        <v>5</v>
      </c>
      <c r="T131" t="str">
        <f>_xlfn.CONCAT(Table_Trailer_Restock[[#This Row],[Macro Sort]]," ",Table_Trailer_Restock[[#This Row],[Location]])</f>
        <v>T04 Ductwork</v>
      </c>
    </row>
    <row r="132" spans="1:20" x14ac:dyDescent="0.45">
      <c r="A132">
        <v>121</v>
      </c>
      <c r="B132" t="s">
        <v>319</v>
      </c>
      <c r="E132" t="s">
        <v>101</v>
      </c>
      <c r="F132" s="16" t="s">
        <v>321</v>
      </c>
      <c r="G132" s="16">
        <v>100</v>
      </c>
      <c r="H132" s="16">
        <v>50</v>
      </c>
      <c r="I132" t="s">
        <v>1017</v>
      </c>
      <c r="J132" t="b">
        <v>1</v>
      </c>
      <c r="K132" t="b">
        <v>1</v>
      </c>
      <c r="L132" t="b">
        <v>0</v>
      </c>
      <c r="M132" s="9"/>
      <c r="N132" t="s">
        <v>304</v>
      </c>
      <c r="O132">
        <v>20</v>
      </c>
      <c r="P132">
        <v>10</v>
      </c>
      <c r="Q132" t="s">
        <v>848</v>
      </c>
      <c r="R132" t="str">
        <f>_xlfn.XLOOKUP(Table_Trailer_Restock[[#This Row],[Location]],Table_Trailer_Location[[Label ]],Table_Trailer_Location[Sort Order],"",0,1)</f>
        <v>T04</v>
      </c>
      <c r="S132">
        <v>6</v>
      </c>
      <c r="T132" t="str">
        <f>_xlfn.CONCAT(Table_Trailer_Restock[[#This Row],[Macro Sort]]," ",Table_Trailer_Restock[[#This Row],[Location]])</f>
        <v>T04 Ductwork</v>
      </c>
    </row>
    <row r="133" spans="1:20" x14ac:dyDescent="0.45">
      <c r="A133">
        <v>122</v>
      </c>
      <c r="B133" t="s">
        <v>322</v>
      </c>
      <c r="E133" t="s">
        <v>101</v>
      </c>
      <c r="F133" s="16" t="s">
        <v>324</v>
      </c>
      <c r="G133" s="16" t="s">
        <v>325</v>
      </c>
      <c r="H133" s="16" t="s">
        <v>325</v>
      </c>
      <c r="I133" t="s">
        <v>1018</v>
      </c>
      <c r="J133" t="b">
        <v>1</v>
      </c>
      <c r="K133" t="b">
        <v>1</v>
      </c>
      <c r="L133" t="b">
        <v>0</v>
      </c>
      <c r="M133" s="9"/>
      <c r="N133" t="s">
        <v>304</v>
      </c>
      <c r="O133">
        <v>100</v>
      </c>
      <c r="P133">
        <v>50</v>
      </c>
      <c r="Q133" t="s">
        <v>848</v>
      </c>
      <c r="R133" t="str">
        <f>_xlfn.XLOOKUP(Table_Trailer_Restock[[#This Row],[Location]],Table_Trailer_Location[[Label ]],Table_Trailer_Location[Sort Order],"",0,1)</f>
        <v>T04</v>
      </c>
      <c r="S133">
        <v>7</v>
      </c>
      <c r="T133" t="str">
        <f>_xlfn.CONCAT(Table_Trailer_Restock[[#This Row],[Macro Sort]]," ",Table_Trailer_Restock[[#This Row],[Location]])</f>
        <v>T04 Ductwork</v>
      </c>
    </row>
    <row r="134" spans="1:20" x14ac:dyDescent="0.45">
      <c r="A134">
        <v>123</v>
      </c>
      <c r="B134" t="s">
        <v>326</v>
      </c>
      <c r="E134" t="s">
        <v>29</v>
      </c>
      <c r="F134" s="16">
        <v>531738</v>
      </c>
      <c r="G134" s="16">
        <v>5</v>
      </c>
      <c r="H134" s="16">
        <v>5</v>
      </c>
      <c r="I134" t="s">
        <v>1019</v>
      </c>
      <c r="J134" t="b">
        <v>1</v>
      </c>
      <c r="K134" t="b">
        <v>1</v>
      </c>
      <c r="L134" t="b">
        <v>0</v>
      </c>
      <c r="M134" s="9"/>
      <c r="N134" t="s">
        <v>889</v>
      </c>
      <c r="O134">
        <v>2</v>
      </c>
      <c r="P134">
        <v>1</v>
      </c>
      <c r="Q134" t="s">
        <v>848</v>
      </c>
      <c r="R134" t="str">
        <f>_xlfn.XLOOKUP(Table_Trailer_Restock[[#This Row],[Location]],Table_Trailer_Location[[Label ]],Table_Trailer_Location[Sort Order],"",0,1)</f>
        <v>T05</v>
      </c>
      <c r="S134">
        <v>1</v>
      </c>
      <c r="T134" t="str">
        <f>_xlfn.CONCAT(Table_Trailer_Restock[[#This Row],[Macro Sort]]," ",Table_Trailer_Restock[[#This Row],[Location]])</f>
        <v>T05 Electrical - Circuit Breakers</v>
      </c>
    </row>
    <row r="135" spans="1:20" x14ac:dyDescent="0.45">
      <c r="A135">
        <v>124</v>
      </c>
      <c r="B135" t="s">
        <v>329</v>
      </c>
      <c r="E135" t="s">
        <v>29</v>
      </c>
      <c r="F135" s="16">
        <v>532815</v>
      </c>
      <c r="G135" s="16">
        <v>5</v>
      </c>
      <c r="H135" s="16">
        <v>5</v>
      </c>
      <c r="I135" t="s">
        <v>1020</v>
      </c>
      <c r="J135" t="b">
        <v>1</v>
      </c>
      <c r="K135" t="b">
        <v>1</v>
      </c>
      <c r="L135" t="b">
        <v>0</v>
      </c>
      <c r="M135" s="9"/>
      <c r="N135" t="s">
        <v>889</v>
      </c>
      <c r="O135">
        <v>2</v>
      </c>
      <c r="P135">
        <v>1</v>
      </c>
      <c r="Q135" t="s">
        <v>848</v>
      </c>
      <c r="R135" t="str">
        <f>_xlfn.XLOOKUP(Table_Trailer_Restock[[#This Row],[Location]],Table_Trailer_Location[[Label ]],Table_Trailer_Location[Sort Order],"",0,1)</f>
        <v>T05</v>
      </c>
      <c r="S135">
        <v>2</v>
      </c>
      <c r="T135" t="str">
        <f>_xlfn.CONCAT(Table_Trailer_Restock[[#This Row],[Macro Sort]]," ",Table_Trailer_Restock[[#This Row],[Location]])</f>
        <v>T05 Electrical - Circuit Breakers</v>
      </c>
    </row>
    <row r="136" spans="1:20" x14ac:dyDescent="0.45">
      <c r="A136">
        <v>125</v>
      </c>
      <c r="B136" t="s">
        <v>331</v>
      </c>
      <c r="E136" t="s">
        <v>29</v>
      </c>
      <c r="F136" s="16" t="s">
        <v>333</v>
      </c>
      <c r="G136" s="16">
        <v>10</v>
      </c>
      <c r="H136" s="16">
        <v>10</v>
      </c>
      <c r="I136" t="s">
        <v>1021</v>
      </c>
      <c r="J136" t="b">
        <v>1</v>
      </c>
      <c r="K136" t="b">
        <v>1</v>
      </c>
      <c r="L136" t="b">
        <v>0</v>
      </c>
      <c r="M136" s="9"/>
      <c r="N136" t="s">
        <v>889</v>
      </c>
      <c r="O136">
        <v>2</v>
      </c>
      <c r="Q136" t="s">
        <v>848</v>
      </c>
      <c r="R136" t="str">
        <f>_xlfn.XLOOKUP(Table_Trailer_Restock[[#This Row],[Location]],Table_Trailer_Location[[Label ]],Table_Trailer_Location[Sort Order],"",0,1)</f>
        <v>T05</v>
      </c>
      <c r="S136">
        <v>3</v>
      </c>
      <c r="T136" t="str">
        <f>_xlfn.CONCAT(Table_Trailer_Restock[[#This Row],[Macro Sort]]," ",Table_Trailer_Restock[[#This Row],[Location]])</f>
        <v>T05 Electrical - Circuit Breakers</v>
      </c>
    </row>
    <row r="137" spans="1:20" x14ac:dyDescent="0.45">
      <c r="A137">
        <v>126</v>
      </c>
      <c r="B137" t="s">
        <v>334</v>
      </c>
      <c r="E137" t="s">
        <v>29</v>
      </c>
      <c r="F137" s="16" t="s">
        <v>335</v>
      </c>
      <c r="G137" s="16">
        <v>5</v>
      </c>
      <c r="H137" s="16">
        <v>5</v>
      </c>
      <c r="I137" t="s">
        <v>1022</v>
      </c>
      <c r="J137" t="b">
        <v>1</v>
      </c>
      <c r="K137" t="b">
        <v>1</v>
      </c>
      <c r="L137" t="b">
        <v>0</v>
      </c>
      <c r="M137" s="9"/>
      <c r="N137" t="s">
        <v>889</v>
      </c>
      <c r="O137">
        <v>1</v>
      </c>
      <c r="Q137" t="s">
        <v>848</v>
      </c>
      <c r="R137" t="str">
        <f>_xlfn.XLOOKUP(Table_Trailer_Restock[[#This Row],[Location]],Table_Trailer_Location[[Label ]],Table_Trailer_Location[Sort Order],"",0,1)</f>
        <v>T05</v>
      </c>
      <c r="S137">
        <v>4</v>
      </c>
      <c r="T137" t="str">
        <f>_xlfn.CONCAT(Table_Trailer_Restock[[#This Row],[Macro Sort]]," ",Table_Trailer_Restock[[#This Row],[Location]])</f>
        <v>T05 Electrical - Circuit Breakers</v>
      </c>
    </row>
    <row r="138" spans="1:20" x14ac:dyDescent="0.45">
      <c r="A138">
        <v>127</v>
      </c>
      <c r="B138" t="s">
        <v>336</v>
      </c>
      <c r="E138" t="s">
        <v>29</v>
      </c>
      <c r="F138" s="16" t="s">
        <v>339</v>
      </c>
      <c r="G138" s="16">
        <v>4</v>
      </c>
      <c r="H138" s="16">
        <v>4</v>
      </c>
      <c r="I138" t="s">
        <v>1023</v>
      </c>
      <c r="J138" t="b">
        <v>1</v>
      </c>
      <c r="K138" t="b">
        <v>1</v>
      </c>
      <c r="L138" t="b">
        <v>0</v>
      </c>
      <c r="M138" s="9"/>
      <c r="N138" t="s">
        <v>893</v>
      </c>
      <c r="O138">
        <v>1</v>
      </c>
      <c r="Q138" t="s">
        <v>848</v>
      </c>
      <c r="R138" t="str">
        <f>_xlfn.XLOOKUP(Table_Trailer_Restock[[#This Row],[Location]],Table_Trailer_Location[[Label ]],Table_Trailer_Location[Sort Order],"",0,1)</f>
        <v>T06</v>
      </c>
      <c r="S138">
        <v>1</v>
      </c>
      <c r="T138" t="str">
        <f>_xlfn.CONCAT(Table_Trailer_Restock[[#This Row],[Macro Sort]]," ",Table_Trailer_Restock[[#This Row],[Location]])</f>
        <v>T06 Electrical - Parts</v>
      </c>
    </row>
    <row r="139" spans="1:20" x14ac:dyDescent="0.45">
      <c r="A139">
        <v>128</v>
      </c>
      <c r="B139" t="s">
        <v>340</v>
      </c>
      <c r="E139" t="s">
        <v>29</v>
      </c>
      <c r="F139" s="16">
        <v>876793</v>
      </c>
      <c r="G139" s="16">
        <v>4</v>
      </c>
      <c r="H139" s="16">
        <v>4</v>
      </c>
      <c r="I139" t="s">
        <v>1024</v>
      </c>
      <c r="J139" t="b">
        <v>1</v>
      </c>
      <c r="K139" t="b">
        <v>1</v>
      </c>
      <c r="L139" t="b">
        <v>0</v>
      </c>
      <c r="M139" s="9"/>
      <c r="N139" t="s">
        <v>893</v>
      </c>
      <c r="O139">
        <v>1</v>
      </c>
      <c r="Q139" t="s">
        <v>848</v>
      </c>
      <c r="R139" t="str">
        <f>_xlfn.XLOOKUP(Table_Trailer_Restock[[#This Row],[Location]],Table_Trailer_Location[[Label ]],Table_Trailer_Location[Sort Order],"",0,1)</f>
        <v>T06</v>
      </c>
      <c r="S139">
        <v>2</v>
      </c>
      <c r="T139" t="str">
        <f>_xlfn.CONCAT(Table_Trailer_Restock[[#This Row],[Macro Sort]]," ",Table_Trailer_Restock[[#This Row],[Location]])</f>
        <v>T06 Electrical - Parts</v>
      </c>
    </row>
    <row r="140" spans="1:20" x14ac:dyDescent="0.45">
      <c r="A140">
        <v>129</v>
      </c>
      <c r="B140" t="s">
        <v>342</v>
      </c>
      <c r="E140" t="s">
        <v>29</v>
      </c>
      <c r="F140" s="16" t="s">
        <v>344</v>
      </c>
      <c r="G140" s="16">
        <v>4</v>
      </c>
      <c r="H140" s="16">
        <v>4</v>
      </c>
      <c r="I140" t="s">
        <v>1025</v>
      </c>
      <c r="J140" t="b">
        <v>1</v>
      </c>
      <c r="K140" t="b">
        <v>1</v>
      </c>
      <c r="L140" t="b">
        <v>0</v>
      </c>
      <c r="M140" s="9"/>
      <c r="N140" t="s">
        <v>893</v>
      </c>
      <c r="O140">
        <v>2</v>
      </c>
      <c r="P140">
        <v>1</v>
      </c>
      <c r="Q140" t="s">
        <v>848</v>
      </c>
      <c r="R140" t="str">
        <f>_xlfn.XLOOKUP(Table_Trailer_Restock[[#This Row],[Location]],Table_Trailer_Location[[Label ]],Table_Trailer_Location[Sort Order],"",0,1)</f>
        <v>T06</v>
      </c>
      <c r="S140">
        <v>3</v>
      </c>
      <c r="T140" t="str">
        <f>_xlfn.CONCAT(Table_Trailer_Restock[[#This Row],[Macro Sort]]," ",Table_Trailer_Restock[[#This Row],[Location]])</f>
        <v>T06 Electrical - Parts</v>
      </c>
    </row>
    <row r="141" spans="1:20" x14ac:dyDescent="0.45">
      <c r="A141">
        <v>130</v>
      </c>
      <c r="B141" t="s">
        <v>345</v>
      </c>
      <c r="E141" t="s">
        <v>29</v>
      </c>
      <c r="F141" s="16">
        <v>434981</v>
      </c>
      <c r="G141" s="16">
        <v>4</v>
      </c>
      <c r="H141" s="16">
        <v>4</v>
      </c>
      <c r="I141" t="s">
        <v>1026</v>
      </c>
      <c r="J141" t="b">
        <v>1</v>
      </c>
      <c r="K141" t="b">
        <v>1</v>
      </c>
      <c r="L141" t="b">
        <v>0</v>
      </c>
      <c r="M141" s="9"/>
      <c r="N141" t="s">
        <v>893</v>
      </c>
      <c r="O141">
        <v>1</v>
      </c>
      <c r="Q141" t="s">
        <v>848</v>
      </c>
      <c r="R141" t="str">
        <f>_xlfn.XLOOKUP(Table_Trailer_Restock[[#This Row],[Location]],Table_Trailer_Location[[Label ]],Table_Trailer_Location[Sort Order],"",0,1)</f>
        <v>T06</v>
      </c>
      <c r="S141">
        <v>4</v>
      </c>
      <c r="T141" t="str">
        <f>_xlfn.CONCAT(Table_Trailer_Restock[[#This Row],[Macro Sort]]," ",Table_Trailer_Restock[[#This Row],[Location]])</f>
        <v>T06 Electrical - Parts</v>
      </c>
    </row>
    <row r="142" spans="1:20" x14ac:dyDescent="0.45">
      <c r="A142">
        <v>131</v>
      </c>
      <c r="B142" t="s">
        <v>346</v>
      </c>
      <c r="E142" t="s">
        <v>29</v>
      </c>
      <c r="F142" s="16">
        <v>1001370815</v>
      </c>
      <c r="G142" s="16">
        <v>6</v>
      </c>
      <c r="H142" s="16">
        <v>4</v>
      </c>
      <c r="I142" t="s">
        <v>1027</v>
      </c>
      <c r="J142" t="b">
        <v>1</v>
      </c>
      <c r="K142" t="b">
        <v>1</v>
      </c>
      <c r="L142" t="b">
        <v>0</v>
      </c>
      <c r="M142" s="9"/>
      <c r="N142" t="s">
        <v>893</v>
      </c>
      <c r="O142">
        <v>1</v>
      </c>
      <c r="Q142" t="s">
        <v>848</v>
      </c>
      <c r="R142" t="str">
        <f>_xlfn.XLOOKUP(Table_Trailer_Restock[[#This Row],[Location]],Table_Trailer_Location[[Label ]],Table_Trailer_Location[Sort Order],"",0,1)</f>
        <v>T06</v>
      </c>
      <c r="S142">
        <v>5</v>
      </c>
      <c r="T142" t="str">
        <f>_xlfn.CONCAT(Table_Trailer_Restock[[#This Row],[Macro Sort]]," ",Table_Trailer_Restock[[#This Row],[Location]])</f>
        <v>T06 Electrical - Parts</v>
      </c>
    </row>
    <row r="143" spans="1:20" x14ac:dyDescent="0.45">
      <c r="A143">
        <v>132</v>
      </c>
      <c r="B143" t="s">
        <v>347</v>
      </c>
      <c r="E143" t="s">
        <v>29</v>
      </c>
      <c r="F143" s="16">
        <v>202056256</v>
      </c>
      <c r="G143" s="16">
        <v>6</v>
      </c>
      <c r="H143" s="16">
        <v>4</v>
      </c>
      <c r="I143" t="s">
        <v>1028</v>
      </c>
      <c r="J143" t="b">
        <v>1</v>
      </c>
      <c r="K143" t="b">
        <v>1</v>
      </c>
      <c r="L143" t="b">
        <v>0</v>
      </c>
      <c r="M143" s="9"/>
      <c r="N143" t="s">
        <v>893</v>
      </c>
      <c r="O143">
        <v>1</v>
      </c>
      <c r="Q143" t="s">
        <v>848</v>
      </c>
      <c r="R143" t="str">
        <f>_xlfn.XLOOKUP(Table_Trailer_Restock[[#This Row],[Location]],Table_Trailer_Location[[Label ]],Table_Trailer_Location[Sort Order],"",0,1)</f>
        <v>T06</v>
      </c>
      <c r="S143">
        <v>6</v>
      </c>
      <c r="T143" t="str">
        <f>_xlfn.CONCAT(Table_Trailer_Restock[[#This Row],[Macro Sort]]," ",Table_Trailer_Restock[[#This Row],[Location]])</f>
        <v>T06 Electrical - Parts</v>
      </c>
    </row>
    <row r="144" spans="1:20" x14ac:dyDescent="0.45">
      <c r="A144">
        <v>133</v>
      </c>
      <c r="B144" t="s">
        <v>348</v>
      </c>
      <c r="E144" t="s">
        <v>29</v>
      </c>
      <c r="F144" s="16">
        <v>100026991</v>
      </c>
      <c r="G144" s="16">
        <v>4</v>
      </c>
      <c r="H144" s="16">
        <v>4</v>
      </c>
      <c r="I144" t="s">
        <v>1029</v>
      </c>
      <c r="J144" t="b">
        <v>1</v>
      </c>
      <c r="K144" t="b">
        <v>1</v>
      </c>
      <c r="L144" t="b">
        <v>0</v>
      </c>
      <c r="M144" s="9"/>
      <c r="N144" t="s">
        <v>893</v>
      </c>
      <c r="O144">
        <v>1</v>
      </c>
      <c r="Q144" t="s">
        <v>848</v>
      </c>
      <c r="R144" t="str">
        <f>_xlfn.XLOOKUP(Table_Trailer_Restock[[#This Row],[Location]],Table_Trailer_Location[[Label ]],Table_Trailer_Location[Sort Order],"",0,1)</f>
        <v>T06</v>
      </c>
      <c r="S144">
        <v>7</v>
      </c>
      <c r="T144" t="str">
        <f>_xlfn.CONCAT(Table_Trailer_Restock[[#This Row],[Macro Sort]]," ",Table_Trailer_Restock[[#This Row],[Location]])</f>
        <v>T06 Electrical - Parts</v>
      </c>
    </row>
    <row r="145" spans="1:20" x14ac:dyDescent="0.45">
      <c r="A145">
        <v>134</v>
      </c>
      <c r="B145" t="s">
        <v>349</v>
      </c>
      <c r="E145" t="s">
        <v>29</v>
      </c>
      <c r="F145" s="16">
        <v>101249</v>
      </c>
      <c r="G145" s="16">
        <v>4</v>
      </c>
      <c r="H145" s="16">
        <v>4</v>
      </c>
      <c r="I145" t="s">
        <v>1030</v>
      </c>
      <c r="J145" t="b">
        <v>1</v>
      </c>
      <c r="K145" t="b">
        <v>1</v>
      </c>
      <c r="L145" t="b">
        <v>0</v>
      </c>
      <c r="M145" s="9"/>
      <c r="N145" t="s">
        <v>893</v>
      </c>
      <c r="O145">
        <v>1</v>
      </c>
      <c r="Q145" t="s">
        <v>848</v>
      </c>
      <c r="R145" t="str">
        <f>_xlfn.XLOOKUP(Table_Trailer_Restock[[#This Row],[Location]],Table_Trailer_Location[[Label ]],Table_Trailer_Location[Sort Order],"",0,1)</f>
        <v>T06</v>
      </c>
      <c r="S145">
        <v>8</v>
      </c>
      <c r="T145" t="str">
        <f>_xlfn.CONCAT(Table_Trailer_Restock[[#This Row],[Macro Sort]]," ",Table_Trailer_Restock[[#This Row],[Location]])</f>
        <v>T06 Electrical - Parts</v>
      </c>
    </row>
    <row r="146" spans="1:20" x14ac:dyDescent="0.45">
      <c r="A146">
        <v>135</v>
      </c>
      <c r="B146" t="s">
        <v>350</v>
      </c>
      <c r="E146" t="s">
        <v>353</v>
      </c>
      <c r="F146" s="16">
        <v>615344</v>
      </c>
      <c r="G146" s="16" t="s">
        <v>354</v>
      </c>
      <c r="H146" s="16" t="s">
        <v>355</v>
      </c>
      <c r="I146" t="s">
        <v>1031</v>
      </c>
      <c r="J146" t="b">
        <v>1</v>
      </c>
      <c r="K146" t="b">
        <v>1</v>
      </c>
      <c r="L146" t="b">
        <v>0</v>
      </c>
      <c r="M146" s="9"/>
      <c r="N146" t="s">
        <v>896</v>
      </c>
      <c r="O146">
        <v>1</v>
      </c>
      <c r="Q146" t="s">
        <v>848</v>
      </c>
      <c r="R146" t="str">
        <f>_xlfn.XLOOKUP(Table_Trailer_Restock[[#This Row],[Location]],Table_Trailer_Location[[Label ]],Table_Trailer_Location[Sort Order],"",0,1)</f>
        <v>T07</v>
      </c>
      <c r="S146">
        <v>1</v>
      </c>
      <c r="T146" t="str">
        <f>_xlfn.CONCAT(Table_Trailer_Restock[[#This Row],[Macro Sort]]," ",Table_Trailer_Restock[[#This Row],[Location]])</f>
        <v>T07 Electrical - Wire &amp; Conduit</v>
      </c>
    </row>
    <row r="147" spans="1:20" x14ac:dyDescent="0.45">
      <c r="A147">
        <v>136</v>
      </c>
      <c r="B147" t="s">
        <v>357</v>
      </c>
      <c r="E147" t="s">
        <v>353</v>
      </c>
      <c r="F147" s="16">
        <v>72135</v>
      </c>
      <c r="G147" s="16" t="s">
        <v>354</v>
      </c>
      <c r="H147" s="16" t="s">
        <v>355</v>
      </c>
      <c r="I147" t="s">
        <v>1032</v>
      </c>
      <c r="J147" t="b">
        <v>1</v>
      </c>
      <c r="K147" t="b">
        <v>1</v>
      </c>
      <c r="L147" t="b">
        <v>0</v>
      </c>
      <c r="M147" s="9"/>
      <c r="N147" t="s">
        <v>896</v>
      </c>
      <c r="O147">
        <v>1</v>
      </c>
      <c r="Q147" t="s">
        <v>848</v>
      </c>
      <c r="R147" t="str">
        <f>_xlfn.XLOOKUP(Table_Trailer_Restock[[#This Row],[Location]],Table_Trailer_Location[[Label ]],Table_Trailer_Location[Sort Order],"",0,1)</f>
        <v>T07</v>
      </c>
      <c r="S147">
        <v>2</v>
      </c>
      <c r="T147" t="str">
        <f>_xlfn.CONCAT(Table_Trailer_Restock[[#This Row],[Macro Sort]]," ",Table_Trailer_Restock[[#This Row],[Location]])</f>
        <v>T07 Electrical - Wire &amp; Conduit</v>
      </c>
    </row>
    <row r="148" spans="1:20" x14ac:dyDescent="0.45">
      <c r="A148">
        <v>137</v>
      </c>
      <c r="B148" t="s">
        <v>358</v>
      </c>
      <c r="E148" t="s">
        <v>353</v>
      </c>
      <c r="F148" s="16">
        <v>614792</v>
      </c>
      <c r="G148" s="16" t="s">
        <v>354</v>
      </c>
      <c r="H148" s="16" t="s">
        <v>355</v>
      </c>
      <c r="I148" t="s">
        <v>1033</v>
      </c>
      <c r="J148" t="b">
        <v>1</v>
      </c>
      <c r="K148" t="b">
        <v>1</v>
      </c>
      <c r="L148" t="b">
        <v>0</v>
      </c>
      <c r="M148" s="9"/>
      <c r="N148" t="s">
        <v>896</v>
      </c>
      <c r="O148">
        <v>1</v>
      </c>
      <c r="Q148" t="s">
        <v>848</v>
      </c>
      <c r="R148" t="str">
        <f>_xlfn.XLOOKUP(Table_Trailer_Restock[[#This Row],[Location]],Table_Trailer_Location[[Label ]],Table_Trailer_Location[Sort Order],"",0,1)</f>
        <v>T07</v>
      </c>
      <c r="S148">
        <v>3</v>
      </c>
      <c r="T148" t="str">
        <f>_xlfn.CONCAT(Table_Trailer_Restock[[#This Row],[Macro Sort]]," ",Table_Trailer_Restock[[#This Row],[Location]])</f>
        <v>T07 Electrical - Wire &amp; Conduit</v>
      </c>
    </row>
    <row r="149" spans="1:20" x14ac:dyDescent="0.45">
      <c r="A149">
        <v>138</v>
      </c>
      <c r="B149" t="s">
        <v>360</v>
      </c>
      <c r="E149" t="s">
        <v>40</v>
      </c>
      <c r="F149" s="16" t="s">
        <v>362</v>
      </c>
      <c r="G149" s="16" t="s">
        <v>363</v>
      </c>
      <c r="H149" s="16" t="s">
        <v>363</v>
      </c>
      <c r="I149" t="s">
        <v>1034</v>
      </c>
      <c r="J149" t="b">
        <v>1</v>
      </c>
      <c r="K149" t="b">
        <v>1</v>
      </c>
      <c r="L149" t="b">
        <v>0</v>
      </c>
      <c r="M149" s="9"/>
      <c r="N149" t="s">
        <v>896</v>
      </c>
      <c r="O149" t="s">
        <v>1035</v>
      </c>
      <c r="P149" t="s">
        <v>446</v>
      </c>
      <c r="Q149" t="s">
        <v>848</v>
      </c>
      <c r="R149" t="str">
        <f>_xlfn.XLOOKUP(Table_Trailer_Restock[[#This Row],[Location]],Table_Trailer_Location[[Label ]],Table_Trailer_Location[Sort Order],"",0,1)</f>
        <v>T07</v>
      </c>
      <c r="S149">
        <v>4</v>
      </c>
      <c r="T149" t="str">
        <f>_xlfn.CONCAT(Table_Trailer_Restock[[#This Row],[Macro Sort]]," ",Table_Trailer_Restock[[#This Row],[Location]])</f>
        <v>T07 Electrical - Wire &amp; Conduit</v>
      </c>
    </row>
    <row r="150" spans="1:20" x14ac:dyDescent="0.45">
      <c r="A150">
        <v>139</v>
      </c>
      <c r="B150" t="s">
        <v>364</v>
      </c>
      <c r="E150" t="s">
        <v>29</v>
      </c>
      <c r="F150" s="16">
        <v>455875</v>
      </c>
      <c r="G150" s="16" t="s">
        <v>363</v>
      </c>
      <c r="H150" s="16" t="s">
        <v>363</v>
      </c>
      <c r="I150" t="s">
        <v>1036</v>
      </c>
      <c r="J150" t="b">
        <v>1</v>
      </c>
      <c r="K150" t="b">
        <v>1</v>
      </c>
      <c r="L150" t="b">
        <v>0</v>
      </c>
      <c r="M150" s="9"/>
      <c r="N150" t="s">
        <v>896</v>
      </c>
      <c r="O150" t="s">
        <v>1037</v>
      </c>
      <c r="P150" t="s">
        <v>446</v>
      </c>
      <c r="Q150" t="s">
        <v>848</v>
      </c>
      <c r="R150" t="str">
        <f>_xlfn.XLOOKUP(Table_Trailer_Restock[[#This Row],[Location]],Table_Trailer_Location[[Label ]],Table_Trailer_Location[Sort Order],"",0,1)</f>
        <v>T07</v>
      </c>
      <c r="S150">
        <v>5</v>
      </c>
      <c r="T150" t="str">
        <f>_xlfn.CONCAT(Table_Trailer_Restock[[#This Row],[Macro Sort]]," ",Table_Trailer_Restock[[#This Row],[Location]])</f>
        <v>T07 Electrical - Wire &amp; Conduit</v>
      </c>
    </row>
    <row r="151" spans="1:20" x14ac:dyDescent="0.45">
      <c r="A151">
        <v>140</v>
      </c>
      <c r="B151" t="s">
        <v>366</v>
      </c>
      <c r="E151" t="s">
        <v>29</v>
      </c>
      <c r="F151" s="16">
        <v>68579201</v>
      </c>
      <c r="G151" s="16" t="s">
        <v>363</v>
      </c>
      <c r="H151" s="16" t="s">
        <v>363</v>
      </c>
      <c r="I151" t="s">
        <v>1038</v>
      </c>
      <c r="J151" t="b">
        <v>1</v>
      </c>
      <c r="K151" t="b">
        <v>1</v>
      </c>
      <c r="L151" t="b">
        <v>0</v>
      </c>
      <c r="M151" s="9"/>
      <c r="N151" t="s">
        <v>896</v>
      </c>
      <c r="O151" t="s">
        <v>1037</v>
      </c>
      <c r="P151" t="s">
        <v>446</v>
      </c>
      <c r="Q151" t="s">
        <v>848</v>
      </c>
      <c r="R151" t="str">
        <f>_xlfn.XLOOKUP(Table_Trailer_Restock[[#This Row],[Location]],Table_Trailer_Location[[Label ]],Table_Trailer_Location[Sort Order],"",0,1)</f>
        <v>T07</v>
      </c>
      <c r="S151">
        <v>6</v>
      </c>
      <c r="T151" t="str">
        <f>_xlfn.CONCAT(Table_Trailer_Restock[[#This Row],[Macro Sort]]," ",Table_Trailer_Restock[[#This Row],[Location]])</f>
        <v>T07 Electrical - Wire &amp; Conduit</v>
      </c>
    </row>
    <row r="152" spans="1:20" x14ac:dyDescent="0.45">
      <c r="A152">
        <v>141</v>
      </c>
      <c r="B152" t="s">
        <v>368</v>
      </c>
      <c r="E152" t="s">
        <v>40</v>
      </c>
      <c r="F152" s="16">
        <v>47104807</v>
      </c>
      <c r="G152" s="16" t="s">
        <v>363</v>
      </c>
      <c r="H152" s="16" t="s">
        <v>363</v>
      </c>
      <c r="I152" t="s">
        <v>1039</v>
      </c>
      <c r="J152" t="b">
        <v>1</v>
      </c>
      <c r="K152" t="b">
        <v>1</v>
      </c>
      <c r="L152" t="b">
        <v>0</v>
      </c>
      <c r="M152" s="9"/>
      <c r="N152" t="s">
        <v>896</v>
      </c>
      <c r="O152" t="s">
        <v>1040</v>
      </c>
      <c r="P152" t="s">
        <v>1041</v>
      </c>
      <c r="Q152" t="s">
        <v>848</v>
      </c>
      <c r="R152" t="str">
        <f>_xlfn.XLOOKUP(Table_Trailer_Restock[[#This Row],[Location]],Table_Trailer_Location[[Label ]],Table_Trailer_Location[Sort Order],"",0,1)</f>
        <v>T07</v>
      </c>
      <c r="S152">
        <v>7</v>
      </c>
      <c r="T152" t="str">
        <f>_xlfn.CONCAT(Table_Trailer_Restock[[#This Row],[Macro Sort]]," ",Table_Trailer_Restock[[#This Row],[Location]])</f>
        <v>T07 Electrical - Wire &amp; Conduit</v>
      </c>
    </row>
    <row r="153" spans="1:20" x14ac:dyDescent="0.45">
      <c r="A153">
        <v>142</v>
      </c>
      <c r="B153" t="s">
        <v>370</v>
      </c>
      <c r="E153" t="s">
        <v>40</v>
      </c>
      <c r="F153" s="16">
        <v>47120307</v>
      </c>
      <c r="G153" s="16" t="s">
        <v>363</v>
      </c>
      <c r="H153" s="16" t="s">
        <v>363</v>
      </c>
      <c r="I153" t="s">
        <v>1042</v>
      </c>
      <c r="J153" t="b">
        <v>1</v>
      </c>
      <c r="K153" t="b">
        <v>1</v>
      </c>
      <c r="L153" t="b">
        <v>0</v>
      </c>
      <c r="M153" s="9"/>
      <c r="N153" t="s">
        <v>896</v>
      </c>
      <c r="O153" t="s">
        <v>1040</v>
      </c>
      <c r="P153" t="s">
        <v>1041</v>
      </c>
      <c r="Q153" t="s">
        <v>848</v>
      </c>
      <c r="R153" t="str">
        <f>_xlfn.XLOOKUP(Table_Trailer_Restock[[#This Row],[Location]],Table_Trailer_Location[[Label ]],Table_Trailer_Location[Sort Order],"",0,1)</f>
        <v>T07</v>
      </c>
      <c r="S153">
        <v>8</v>
      </c>
      <c r="T153" t="str">
        <f>_xlfn.CONCAT(Table_Trailer_Restock[[#This Row],[Macro Sort]]," ",Table_Trailer_Restock[[#This Row],[Location]])</f>
        <v>T07 Electrical - Wire &amp; Conduit</v>
      </c>
    </row>
    <row r="154" spans="1:20" x14ac:dyDescent="0.45">
      <c r="A154">
        <v>143</v>
      </c>
      <c r="B154" t="s">
        <v>372</v>
      </c>
      <c r="E154" t="s">
        <v>40</v>
      </c>
      <c r="F154" s="16">
        <v>47140307</v>
      </c>
      <c r="G154" s="16" t="s">
        <v>363</v>
      </c>
      <c r="H154" s="16" t="s">
        <v>363</v>
      </c>
      <c r="I154" t="s">
        <v>1043</v>
      </c>
      <c r="J154" t="b">
        <v>1</v>
      </c>
      <c r="K154" t="b">
        <v>1</v>
      </c>
      <c r="L154" t="b">
        <v>0</v>
      </c>
      <c r="M154" s="9"/>
      <c r="N154" t="s">
        <v>896</v>
      </c>
      <c r="O154" t="s">
        <v>1040</v>
      </c>
      <c r="P154" t="s">
        <v>1041</v>
      </c>
      <c r="Q154" t="s">
        <v>848</v>
      </c>
      <c r="R154" t="str">
        <f>_xlfn.XLOOKUP(Table_Trailer_Restock[[#This Row],[Location]],Table_Trailer_Location[[Label ]],Table_Trailer_Location[Sort Order],"",0,1)</f>
        <v>T07</v>
      </c>
      <c r="S154">
        <v>9</v>
      </c>
      <c r="T154" t="str">
        <f>_xlfn.CONCAT(Table_Trailer_Restock[[#This Row],[Macro Sort]]," ",Table_Trailer_Restock[[#This Row],[Location]])</f>
        <v>T07 Electrical - Wire &amp; Conduit</v>
      </c>
    </row>
    <row r="155" spans="1:20" x14ac:dyDescent="0.45">
      <c r="A155">
        <v>144</v>
      </c>
      <c r="B155" t="s">
        <v>374</v>
      </c>
      <c r="E155" t="s">
        <v>29</v>
      </c>
      <c r="F155" s="16"/>
      <c r="G155" s="16">
        <v>6</v>
      </c>
      <c r="H155" s="16">
        <v>3</v>
      </c>
      <c r="I155" t="s">
        <v>1044</v>
      </c>
      <c r="J155" t="b">
        <v>1</v>
      </c>
      <c r="K155" t="b">
        <v>1</v>
      </c>
      <c r="L155" t="b">
        <v>0</v>
      </c>
      <c r="M155" s="9"/>
      <c r="N155" t="s">
        <v>375</v>
      </c>
      <c r="O155">
        <v>1</v>
      </c>
      <c r="Q155" t="s">
        <v>848</v>
      </c>
      <c r="R155" t="str">
        <f>_xlfn.XLOOKUP(Table_Trailer_Restock[[#This Row],[Location]],Table_Trailer_Location[[Label ]],Table_Trailer_Location[Sort Order],"",0,1)</f>
        <v>T08</v>
      </c>
      <c r="S155">
        <v>1</v>
      </c>
      <c r="T155" t="str">
        <f>_xlfn.CONCAT(Table_Trailer_Restock[[#This Row],[Macro Sort]]," ",Table_Trailer_Restock[[#This Row],[Location]])</f>
        <v>T08 Finishing Bag</v>
      </c>
    </row>
    <row r="156" spans="1:20" x14ac:dyDescent="0.45">
      <c r="A156">
        <v>145</v>
      </c>
      <c r="B156" t="s">
        <v>376</v>
      </c>
      <c r="E156" t="s">
        <v>40</v>
      </c>
      <c r="F156" s="16" t="s">
        <v>378</v>
      </c>
      <c r="G156" s="16">
        <v>5</v>
      </c>
      <c r="H156" s="16">
        <v>5</v>
      </c>
      <c r="I156" t="s">
        <v>1045</v>
      </c>
      <c r="J156" t="b">
        <v>1</v>
      </c>
      <c r="K156" t="b">
        <v>1</v>
      </c>
      <c r="L156" t="b">
        <v>0</v>
      </c>
      <c r="M156" s="9"/>
      <c r="N156" t="s">
        <v>375</v>
      </c>
      <c r="O156">
        <v>1</v>
      </c>
      <c r="P156">
        <v>1</v>
      </c>
      <c r="Q156" t="s">
        <v>848</v>
      </c>
      <c r="R156" t="str">
        <f>_xlfn.XLOOKUP(Table_Trailer_Restock[[#This Row],[Location]],Table_Trailer_Location[[Label ]],Table_Trailer_Location[Sort Order],"",0,1)</f>
        <v>T08</v>
      </c>
      <c r="S156">
        <v>2</v>
      </c>
      <c r="T156" t="str">
        <f>_xlfn.CONCAT(Table_Trailer_Restock[[#This Row],[Macro Sort]]," ",Table_Trailer_Restock[[#This Row],[Location]])</f>
        <v>T08 Finishing Bag</v>
      </c>
    </row>
    <row r="157" spans="1:20" x14ac:dyDescent="0.45">
      <c r="A157">
        <v>146</v>
      </c>
      <c r="B157" t="s">
        <v>379</v>
      </c>
      <c r="E157" t="s">
        <v>40</v>
      </c>
      <c r="F157" s="16" t="s">
        <v>381</v>
      </c>
      <c r="G157" s="16">
        <v>5</v>
      </c>
      <c r="H157" s="16">
        <v>5</v>
      </c>
      <c r="I157" t="s">
        <v>1046</v>
      </c>
      <c r="J157" t="b">
        <v>1</v>
      </c>
      <c r="K157" t="b">
        <v>1</v>
      </c>
      <c r="L157" t="b">
        <v>0</v>
      </c>
      <c r="M157" s="9"/>
      <c r="N157" t="s">
        <v>375</v>
      </c>
      <c r="O157">
        <v>1</v>
      </c>
      <c r="P157">
        <v>1</v>
      </c>
      <c r="Q157" t="s">
        <v>848</v>
      </c>
      <c r="R157" t="str">
        <f>_xlfn.XLOOKUP(Table_Trailer_Restock[[#This Row],[Location]],Table_Trailer_Location[[Label ]],Table_Trailer_Location[Sort Order],"",0,1)</f>
        <v>T08</v>
      </c>
      <c r="S157">
        <v>3</v>
      </c>
      <c r="T157" t="str">
        <f>_xlfn.CONCAT(Table_Trailer_Restock[[#This Row],[Macro Sort]]," ",Table_Trailer_Restock[[#This Row],[Location]])</f>
        <v>T08 Finishing Bag</v>
      </c>
    </row>
    <row r="158" spans="1:20" x14ac:dyDescent="0.45">
      <c r="A158">
        <v>147</v>
      </c>
      <c r="B158" t="s">
        <v>382</v>
      </c>
      <c r="E158" t="s">
        <v>40</v>
      </c>
      <c r="F158" s="16" t="s">
        <v>386</v>
      </c>
      <c r="G158" s="16">
        <v>4</v>
      </c>
      <c r="H158" s="16">
        <v>4</v>
      </c>
      <c r="I158" t="s">
        <v>1047</v>
      </c>
      <c r="J158" t="b">
        <v>1</v>
      </c>
      <c r="K158" t="b">
        <v>1</v>
      </c>
      <c r="L158" t="b">
        <v>0</v>
      </c>
      <c r="M158" s="9"/>
      <c r="N158" t="s">
        <v>904</v>
      </c>
      <c r="O158">
        <v>2</v>
      </c>
      <c r="P158">
        <v>1</v>
      </c>
      <c r="Q158" t="s">
        <v>848</v>
      </c>
      <c r="R158" t="str">
        <f>_xlfn.XLOOKUP(Table_Trailer_Restock[[#This Row],[Location]],Table_Trailer_Location[[Label ]],Table_Trailer_Location[Sort Order],"",0,1)</f>
        <v>T10</v>
      </c>
      <c r="S158">
        <v>1</v>
      </c>
      <c r="T158" t="str">
        <f>_xlfn.CONCAT(Table_Trailer_Restock[[#This Row],[Macro Sort]]," ",Table_Trailer_Restock[[#This Row],[Location]])</f>
        <v>T10 Ground Loop Tester Parts</v>
      </c>
    </row>
    <row r="159" spans="1:20" x14ac:dyDescent="0.45">
      <c r="A159">
        <v>148</v>
      </c>
      <c r="B159" t="s">
        <v>387</v>
      </c>
      <c r="E159" t="s">
        <v>29</v>
      </c>
      <c r="F159" s="16">
        <v>100063067</v>
      </c>
      <c r="G159" s="16">
        <v>4</v>
      </c>
      <c r="H159" s="16">
        <v>4</v>
      </c>
      <c r="I159" t="s">
        <v>1048</v>
      </c>
      <c r="J159" t="b">
        <v>1</v>
      </c>
      <c r="K159" t="b">
        <v>1</v>
      </c>
      <c r="L159" t="b">
        <v>0</v>
      </c>
      <c r="M159" s="9"/>
      <c r="N159" t="s">
        <v>904</v>
      </c>
      <c r="O159">
        <v>1</v>
      </c>
      <c r="Q159" t="s">
        <v>848</v>
      </c>
      <c r="R159" t="str">
        <f>_xlfn.XLOOKUP(Table_Trailer_Restock[[#This Row],[Location]],Table_Trailer_Location[[Label ]],Table_Trailer_Location[Sort Order],"",0,1)</f>
        <v>T10</v>
      </c>
      <c r="S159">
        <v>2</v>
      </c>
      <c r="T159" t="str">
        <f>_xlfn.CONCAT(Table_Trailer_Restock[[#This Row],[Macro Sort]]," ",Table_Trailer_Restock[[#This Row],[Location]])</f>
        <v>T10 Ground Loop Tester Parts</v>
      </c>
    </row>
    <row r="160" spans="1:20" x14ac:dyDescent="0.45">
      <c r="A160">
        <v>149</v>
      </c>
      <c r="B160" t="s">
        <v>388</v>
      </c>
      <c r="E160" t="s">
        <v>391</v>
      </c>
      <c r="F160" s="16" t="s">
        <v>392</v>
      </c>
      <c r="G160" s="16">
        <v>100</v>
      </c>
      <c r="H160" s="16">
        <v>100</v>
      </c>
      <c r="I160" t="s">
        <v>1049</v>
      </c>
      <c r="J160" t="b">
        <v>1</v>
      </c>
      <c r="K160" t="b">
        <v>1</v>
      </c>
      <c r="L160" t="b">
        <v>0</v>
      </c>
      <c r="M160" s="9"/>
      <c r="N160" t="s">
        <v>901</v>
      </c>
      <c r="O160">
        <v>36</v>
      </c>
      <c r="P160">
        <v>12</v>
      </c>
      <c r="Q160" t="s">
        <v>848</v>
      </c>
      <c r="R160" t="str">
        <f>_xlfn.XLOOKUP(Table_Trailer_Restock[[#This Row],[Location]],Table_Trailer_Location[[Label ]],Table_Trailer_Location[Sort Order],"",0,1)</f>
        <v>T09</v>
      </c>
      <c r="S160">
        <v>1</v>
      </c>
      <c r="T160" t="str">
        <f>_xlfn.CONCAT(Table_Trailer_Restock[[#This Row],[Macro Sort]]," ",Table_Trailer_Restock[[#This Row],[Location]])</f>
        <v>T09 Ground Loop Seals</v>
      </c>
    </row>
    <row r="161" spans="1:20" x14ac:dyDescent="0.45">
      <c r="A161">
        <v>150</v>
      </c>
      <c r="B161" t="s">
        <v>393</v>
      </c>
      <c r="E161" t="s">
        <v>40</v>
      </c>
      <c r="F161" s="16" t="s">
        <v>395</v>
      </c>
      <c r="G161" s="16">
        <v>20</v>
      </c>
      <c r="H161" s="16">
        <v>8</v>
      </c>
      <c r="I161" t="s">
        <v>1050</v>
      </c>
      <c r="J161" t="b">
        <v>1</v>
      </c>
      <c r="K161" t="b">
        <v>1</v>
      </c>
      <c r="L161" t="b">
        <v>0</v>
      </c>
      <c r="M161" s="9"/>
      <c r="N161" t="s">
        <v>901</v>
      </c>
      <c r="O161">
        <v>4</v>
      </c>
      <c r="P161">
        <v>2</v>
      </c>
      <c r="Q161" t="s">
        <v>848</v>
      </c>
      <c r="R161" t="str">
        <f>_xlfn.XLOOKUP(Table_Trailer_Restock[[#This Row],[Location]],Table_Trailer_Location[[Label ]],Table_Trailer_Location[Sort Order],"",0,1)</f>
        <v>T09</v>
      </c>
      <c r="S161">
        <v>2</v>
      </c>
      <c r="T161" t="str">
        <f>_xlfn.CONCAT(Table_Trailer_Restock[[#This Row],[Macro Sort]]," ",Table_Trailer_Restock[[#This Row],[Location]])</f>
        <v>T09 Ground Loop Seals</v>
      </c>
    </row>
    <row r="162" spans="1:20" x14ac:dyDescent="0.45">
      <c r="A162">
        <v>151</v>
      </c>
      <c r="B162" t="s">
        <v>396</v>
      </c>
      <c r="E162" t="s">
        <v>391</v>
      </c>
      <c r="F162" s="16" t="s">
        <v>398</v>
      </c>
      <c r="G162" s="16">
        <v>20</v>
      </c>
      <c r="H162" s="16">
        <v>20</v>
      </c>
      <c r="I162" t="s">
        <v>1051</v>
      </c>
      <c r="J162" t="b">
        <v>1</v>
      </c>
      <c r="K162" t="b">
        <v>1</v>
      </c>
      <c r="L162" t="b">
        <v>0</v>
      </c>
      <c r="M162" s="9"/>
      <c r="N162" t="s">
        <v>907</v>
      </c>
      <c r="O162">
        <v>16</v>
      </c>
      <c r="P162">
        <v>8</v>
      </c>
      <c r="Q162" t="s">
        <v>848</v>
      </c>
      <c r="R162" t="str">
        <f>_xlfn.XLOOKUP(Table_Trailer_Restock[[#This Row],[Location]],Table_Trailer_Location[[Label ]],Table_Trailer_Location[Sort Order],"",0,1)</f>
        <v>T11</v>
      </c>
      <c r="S162">
        <v>1</v>
      </c>
      <c r="T162" t="str">
        <f>_xlfn.CONCAT(Table_Trailer_Restock[[#This Row],[Macro Sort]]," ",Table_Trailer_Restock[[#This Row],[Location]])</f>
        <v>T11 HDPE Fittings</v>
      </c>
    </row>
    <row r="163" spans="1:20" x14ac:dyDescent="0.45">
      <c r="A163">
        <v>152</v>
      </c>
      <c r="B163" t="s">
        <v>399</v>
      </c>
      <c r="E163" t="s">
        <v>391</v>
      </c>
      <c r="F163" s="16" t="s">
        <v>400</v>
      </c>
      <c r="G163" s="16">
        <v>50</v>
      </c>
      <c r="H163" s="16">
        <v>50</v>
      </c>
      <c r="I163" t="s">
        <v>1052</v>
      </c>
      <c r="J163" t="b">
        <v>1</v>
      </c>
      <c r="K163" t="b">
        <v>1</v>
      </c>
      <c r="L163" t="b">
        <v>0</v>
      </c>
      <c r="M163" s="9"/>
      <c r="N163" t="s">
        <v>907</v>
      </c>
      <c r="O163">
        <v>16</v>
      </c>
      <c r="P163">
        <v>8</v>
      </c>
      <c r="Q163" t="s">
        <v>848</v>
      </c>
      <c r="R163" t="str">
        <f>_xlfn.XLOOKUP(Table_Trailer_Restock[[#This Row],[Location]],Table_Trailer_Location[[Label ]],Table_Trailer_Location[Sort Order],"",0,1)</f>
        <v>T11</v>
      </c>
      <c r="S163">
        <v>2</v>
      </c>
      <c r="T163" t="str">
        <f>_xlfn.CONCAT(Table_Trailer_Restock[[#This Row],[Macro Sort]]," ",Table_Trailer_Restock[[#This Row],[Location]])</f>
        <v>T11 HDPE Fittings</v>
      </c>
    </row>
    <row r="164" spans="1:20" x14ac:dyDescent="0.45">
      <c r="A164">
        <v>153</v>
      </c>
      <c r="B164" t="s">
        <v>401</v>
      </c>
      <c r="E164" t="s">
        <v>391</v>
      </c>
      <c r="F164" s="16" t="s">
        <v>402</v>
      </c>
      <c r="G164" s="16">
        <v>100</v>
      </c>
      <c r="H164" s="16">
        <v>100</v>
      </c>
      <c r="I164" t="s">
        <v>1053</v>
      </c>
      <c r="J164" t="b">
        <v>1</v>
      </c>
      <c r="K164" t="b">
        <v>1</v>
      </c>
      <c r="L164" t="b">
        <v>0</v>
      </c>
      <c r="M164" s="9"/>
      <c r="N164" t="s">
        <v>907</v>
      </c>
      <c r="O164">
        <v>30</v>
      </c>
      <c r="P164">
        <v>12</v>
      </c>
      <c r="Q164" t="s">
        <v>848</v>
      </c>
      <c r="R164" t="str">
        <f>_xlfn.XLOOKUP(Table_Trailer_Restock[[#This Row],[Location]],Table_Trailer_Location[[Label ]],Table_Trailer_Location[Sort Order],"",0,1)</f>
        <v>T11</v>
      </c>
      <c r="S164">
        <v>3</v>
      </c>
      <c r="T164" t="str">
        <f>_xlfn.CONCAT(Table_Trailer_Restock[[#This Row],[Macro Sort]]," ",Table_Trailer_Restock[[#This Row],[Location]])</f>
        <v>T11 HDPE Fittings</v>
      </c>
    </row>
    <row r="165" spans="1:20" x14ac:dyDescent="0.45">
      <c r="A165">
        <v>154</v>
      </c>
      <c r="B165" t="s">
        <v>403</v>
      </c>
      <c r="E165" t="s">
        <v>391</v>
      </c>
      <c r="F165" s="16" t="s">
        <v>404</v>
      </c>
      <c r="G165" s="16">
        <v>20</v>
      </c>
      <c r="H165" s="16">
        <v>10</v>
      </c>
      <c r="I165" t="s">
        <v>1054</v>
      </c>
      <c r="J165" t="b">
        <v>1</v>
      </c>
      <c r="K165" t="b">
        <v>1</v>
      </c>
      <c r="L165" t="b">
        <v>0</v>
      </c>
      <c r="M165" s="9"/>
      <c r="N165" t="s">
        <v>907</v>
      </c>
      <c r="O165">
        <v>30</v>
      </c>
      <c r="P165">
        <v>12</v>
      </c>
      <c r="Q165" t="s">
        <v>848</v>
      </c>
      <c r="R165" t="str">
        <f>_xlfn.XLOOKUP(Table_Trailer_Restock[[#This Row],[Location]],Table_Trailer_Location[[Label ]],Table_Trailer_Location[Sort Order],"",0,1)</f>
        <v>T11</v>
      </c>
      <c r="S165">
        <v>4</v>
      </c>
      <c r="T165" t="str">
        <f>_xlfn.CONCAT(Table_Trailer_Restock[[#This Row],[Macro Sort]]," ",Table_Trailer_Restock[[#This Row],[Location]])</f>
        <v>T11 HDPE Fittings</v>
      </c>
    </row>
    <row r="166" spans="1:20" x14ac:dyDescent="0.45">
      <c r="A166">
        <v>155</v>
      </c>
      <c r="B166" t="s">
        <v>405</v>
      </c>
      <c r="E166" t="s">
        <v>406</v>
      </c>
      <c r="F166" s="16" t="s">
        <v>407</v>
      </c>
      <c r="G166" s="16" t="s">
        <v>408</v>
      </c>
      <c r="H166" s="16" t="s">
        <v>408</v>
      </c>
      <c r="I166" t="s">
        <v>1055</v>
      </c>
      <c r="J166" t="b">
        <v>1</v>
      </c>
      <c r="K166" t="b">
        <v>1</v>
      </c>
      <c r="L166" t="b">
        <v>0</v>
      </c>
      <c r="M166" s="9"/>
      <c r="N166" t="s">
        <v>907</v>
      </c>
      <c r="O166">
        <v>2</v>
      </c>
      <c r="Q166" t="s">
        <v>848</v>
      </c>
      <c r="R166" t="str">
        <f>_xlfn.XLOOKUP(Table_Trailer_Restock[[#This Row],[Location]],Table_Trailer_Location[[Label ]],Table_Trailer_Location[Sort Order],"",0,1)</f>
        <v>T11</v>
      </c>
      <c r="S166">
        <v>5</v>
      </c>
      <c r="T166" t="str">
        <f>_xlfn.CONCAT(Table_Trailer_Restock[[#This Row],[Macro Sort]]," ",Table_Trailer_Restock[[#This Row],[Location]])</f>
        <v>T11 HDPE Fittings</v>
      </c>
    </row>
    <row r="167" spans="1:20" x14ac:dyDescent="0.45">
      <c r="A167">
        <v>156</v>
      </c>
      <c r="B167" t="s">
        <v>409</v>
      </c>
      <c r="E167" t="s">
        <v>391</v>
      </c>
      <c r="F167" s="16" t="s">
        <v>411</v>
      </c>
      <c r="G167" s="16">
        <v>6</v>
      </c>
      <c r="H167" s="16">
        <v>4</v>
      </c>
      <c r="I167" t="s">
        <v>1056</v>
      </c>
      <c r="J167" t="b">
        <v>1</v>
      </c>
      <c r="K167" t="b">
        <v>1</v>
      </c>
      <c r="L167" t="b">
        <v>0</v>
      </c>
      <c r="M167" s="9"/>
      <c r="N167" t="s">
        <v>907</v>
      </c>
      <c r="O167">
        <v>2</v>
      </c>
      <c r="Q167" t="s">
        <v>848</v>
      </c>
      <c r="R167" t="str">
        <f>_xlfn.XLOOKUP(Table_Trailer_Restock[[#This Row],[Location]],Table_Trailer_Location[[Label ]],Table_Trailer_Location[Sort Order],"",0,1)</f>
        <v>T11</v>
      </c>
      <c r="S167">
        <v>6</v>
      </c>
      <c r="T167" t="str">
        <f>_xlfn.CONCAT(Table_Trailer_Restock[[#This Row],[Macro Sort]]," ",Table_Trailer_Restock[[#This Row],[Location]])</f>
        <v>T11 HDPE Fittings</v>
      </c>
    </row>
    <row r="168" spans="1:20" x14ac:dyDescent="0.45">
      <c r="A168">
        <v>157</v>
      </c>
      <c r="B168" t="s">
        <v>412</v>
      </c>
      <c r="E168" t="s">
        <v>391</v>
      </c>
      <c r="F168" s="16" t="s">
        <v>413</v>
      </c>
      <c r="G168" s="16">
        <v>20</v>
      </c>
      <c r="H168" s="16">
        <v>20</v>
      </c>
      <c r="I168" t="s">
        <v>1057</v>
      </c>
      <c r="J168" t="b">
        <v>1</v>
      </c>
      <c r="K168" t="b">
        <v>1</v>
      </c>
      <c r="L168" t="b">
        <v>0</v>
      </c>
      <c r="M168" s="9"/>
      <c r="N168" t="s">
        <v>907</v>
      </c>
      <c r="O168">
        <v>12</v>
      </c>
      <c r="P168">
        <v>6</v>
      </c>
      <c r="Q168" t="s">
        <v>848</v>
      </c>
      <c r="R168" t="str">
        <f>_xlfn.XLOOKUP(Table_Trailer_Restock[[#This Row],[Location]],Table_Trailer_Location[[Label ]],Table_Trailer_Location[Sort Order],"",0,1)</f>
        <v>T11</v>
      </c>
      <c r="S168">
        <v>7</v>
      </c>
      <c r="T168" t="str">
        <f>_xlfn.CONCAT(Table_Trailer_Restock[[#This Row],[Macro Sort]]," ",Table_Trailer_Restock[[#This Row],[Location]])</f>
        <v>T11 HDPE Fittings</v>
      </c>
    </row>
    <row r="169" spans="1:20" x14ac:dyDescent="0.45">
      <c r="A169">
        <v>158</v>
      </c>
      <c r="B169" t="s">
        <v>414</v>
      </c>
      <c r="E169" t="s">
        <v>391</v>
      </c>
      <c r="F169" s="16" t="s">
        <v>416</v>
      </c>
      <c r="G169" s="16">
        <v>50</v>
      </c>
      <c r="H169" s="16">
        <v>50</v>
      </c>
      <c r="I169" t="s">
        <v>1058</v>
      </c>
      <c r="J169" t="b">
        <v>1</v>
      </c>
      <c r="K169" t="b">
        <v>1</v>
      </c>
      <c r="L169" t="b">
        <v>0</v>
      </c>
      <c r="M169" s="9"/>
      <c r="N169" t="s">
        <v>907</v>
      </c>
      <c r="O169">
        <v>20</v>
      </c>
      <c r="P169">
        <v>10</v>
      </c>
      <c r="Q169" t="s">
        <v>848</v>
      </c>
      <c r="R169" t="str">
        <f>_xlfn.XLOOKUP(Table_Trailer_Restock[[#This Row],[Location]],Table_Trailer_Location[[Label ]],Table_Trailer_Location[Sort Order],"",0,1)</f>
        <v>T11</v>
      </c>
      <c r="S169">
        <v>8</v>
      </c>
      <c r="T169" t="str">
        <f>_xlfn.CONCAT(Table_Trailer_Restock[[#This Row],[Macro Sort]]," ",Table_Trailer_Restock[[#This Row],[Location]])</f>
        <v>T11 HDPE Fittings</v>
      </c>
    </row>
    <row r="170" spans="1:20" x14ac:dyDescent="0.45">
      <c r="A170">
        <v>159</v>
      </c>
      <c r="B170" t="s">
        <v>417</v>
      </c>
      <c r="E170" t="s">
        <v>418</v>
      </c>
      <c r="F170" s="16" t="s">
        <v>419</v>
      </c>
      <c r="G170" s="16">
        <v>10</v>
      </c>
      <c r="H170" s="16">
        <v>10</v>
      </c>
      <c r="I170" t="s">
        <v>1059</v>
      </c>
      <c r="J170" t="b">
        <v>1</v>
      </c>
      <c r="K170" t="b">
        <v>1</v>
      </c>
      <c r="L170" t="b">
        <v>0</v>
      </c>
      <c r="M170" s="9"/>
      <c r="N170" t="s">
        <v>907</v>
      </c>
      <c r="O170">
        <v>20</v>
      </c>
      <c r="P170">
        <v>10</v>
      </c>
      <c r="Q170" t="s">
        <v>848</v>
      </c>
      <c r="R170" t="str">
        <f>_xlfn.XLOOKUP(Table_Trailer_Restock[[#This Row],[Location]],Table_Trailer_Location[[Label ]],Table_Trailer_Location[Sort Order],"",0,1)</f>
        <v>T11</v>
      </c>
      <c r="S170">
        <v>9</v>
      </c>
      <c r="T170" t="str">
        <f>_xlfn.CONCAT(Table_Trailer_Restock[[#This Row],[Macro Sort]]," ",Table_Trailer_Restock[[#This Row],[Location]])</f>
        <v>T11 HDPE Fittings</v>
      </c>
    </row>
    <row r="171" spans="1:20" x14ac:dyDescent="0.45">
      <c r="A171">
        <v>160</v>
      </c>
      <c r="B171" t="s">
        <v>420</v>
      </c>
      <c r="E171" t="s">
        <v>391</v>
      </c>
      <c r="F171" s="16" t="s">
        <v>421</v>
      </c>
      <c r="G171" s="16">
        <v>20</v>
      </c>
      <c r="H171" s="16">
        <v>10</v>
      </c>
      <c r="I171" t="s">
        <v>1060</v>
      </c>
      <c r="J171" t="b">
        <v>1</v>
      </c>
      <c r="K171" t="b">
        <v>1</v>
      </c>
      <c r="L171" t="b">
        <v>0</v>
      </c>
      <c r="M171" s="9"/>
      <c r="N171" t="s">
        <v>907</v>
      </c>
      <c r="O171">
        <v>6</v>
      </c>
      <c r="P171">
        <v>4</v>
      </c>
      <c r="Q171" t="s">
        <v>848</v>
      </c>
      <c r="R171" t="str">
        <f>_xlfn.XLOOKUP(Table_Trailer_Restock[[#This Row],[Location]],Table_Trailer_Location[[Label ]],Table_Trailer_Location[Sort Order],"",0,1)</f>
        <v>T11</v>
      </c>
      <c r="S171">
        <v>10</v>
      </c>
      <c r="T171" t="str">
        <f>_xlfn.CONCAT(Table_Trailer_Restock[[#This Row],[Macro Sort]]," ",Table_Trailer_Restock[[#This Row],[Location]])</f>
        <v>T11 HDPE Fittings</v>
      </c>
    </row>
    <row r="172" spans="1:20" x14ac:dyDescent="0.45">
      <c r="A172">
        <v>161</v>
      </c>
      <c r="B172" t="s">
        <v>422</v>
      </c>
      <c r="E172" t="s">
        <v>391</v>
      </c>
      <c r="F172" s="16" t="s">
        <v>424</v>
      </c>
      <c r="G172" s="16">
        <v>40</v>
      </c>
      <c r="H172" s="16">
        <v>20</v>
      </c>
      <c r="I172" t="s">
        <v>1061</v>
      </c>
      <c r="J172" t="b">
        <v>1</v>
      </c>
      <c r="K172" t="b">
        <v>1</v>
      </c>
      <c r="L172" t="b">
        <v>0</v>
      </c>
      <c r="M172" s="9"/>
      <c r="N172" t="s">
        <v>907</v>
      </c>
      <c r="O172">
        <v>10</v>
      </c>
      <c r="P172">
        <v>4</v>
      </c>
      <c r="Q172" t="s">
        <v>848</v>
      </c>
      <c r="R172" t="str">
        <f>_xlfn.XLOOKUP(Table_Trailer_Restock[[#This Row],[Location]],Table_Trailer_Location[[Label ]],Table_Trailer_Location[Sort Order],"",0,1)</f>
        <v>T11</v>
      </c>
      <c r="S172">
        <v>11</v>
      </c>
      <c r="T172" t="str">
        <f>_xlfn.CONCAT(Table_Trailer_Restock[[#This Row],[Macro Sort]]," ",Table_Trailer_Restock[[#This Row],[Location]])</f>
        <v>T11 HDPE Fittings</v>
      </c>
    </row>
    <row r="173" spans="1:20" x14ac:dyDescent="0.45">
      <c r="A173">
        <v>162</v>
      </c>
      <c r="B173" t="s">
        <v>425</v>
      </c>
      <c r="E173" t="s">
        <v>391</v>
      </c>
      <c r="F173" s="16" t="s">
        <v>427</v>
      </c>
      <c r="G173" s="16">
        <v>20</v>
      </c>
      <c r="H173" s="16">
        <v>8</v>
      </c>
      <c r="I173" t="s">
        <v>1062</v>
      </c>
      <c r="J173" t="b">
        <v>1</v>
      </c>
      <c r="K173" t="b">
        <v>1</v>
      </c>
      <c r="L173" t="b">
        <v>0</v>
      </c>
      <c r="M173" s="9"/>
      <c r="N173" t="s">
        <v>907</v>
      </c>
      <c r="O173">
        <v>1</v>
      </c>
      <c r="P173">
        <v>1</v>
      </c>
      <c r="Q173" t="s">
        <v>848</v>
      </c>
      <c r="R173" t="str">
        <f>_xlfn.XLOOKUP(Table_Trailer_Restock[[#This Row],[Location]],Table_Trailer_Location[[Label ]],Table_Trailer_Location[Sort Order],"",0,1)</f>
        <v>T11</v>
      </c>
      <c r="S173">
        <v>12</v>
      </c>
      <c r="T173" t="str">
        <f>_xlfn.CONCAT(Table_Trailer_Restock[[#This Row],[Macro Sort]]," ",Table_Trailer_Restock[[#This Row],[Location]])</f>
        <v>T11 HDPE Fittings</v>
      </c>
    </row>
    <row r="174" spans="1:20" x14ac:dyDescent="0.45">
      <c r="A174">
        <v>163</v>
      </c>
      <c r="B174" t="s">
        <v>429</v>
      </c>
      <c r="E174" t="s">
        <v>391</v>
      </c>
      <c r="F174" s="16" t="s">
        <v>430</v>
      </c>
      <c r="G174" s="16">
        <v>10</v>
      </c>
      <c r="H174" s="16">
        <v>8</v>
      </c>
      <c r="I174" t="s">
        <v>1063</v>
      </c>
      <c r="J174" t="b">
        <v>1</v>
      </c>
      <c r="K174" t="b">
        <v>1</v>
      </c>
      <c r="L174" t="b">
        <v>0</v>
      </c>
      <c r="M174" s="9"/>
      <c r="N174" t="s">
        <v>907</v>
      </c>
      <c r="O174">
        <v>1</v>
      </c>
      <c r="P174">
        <v>1</v>
      </c>
      <c r="Q174" t="s">
        <v>848</v>
      </c>
      <c r="R174" t="str">
        <f>_xlfn.XLOOKUP(Table_Trailer_Restock[[#This Row],[Location]],Table_Trailer_Location[[Label ]],Table_Trailer_Location[Sort Order],"",0,1)</f>
        <v>T11</v>
      </c>
      <c r="S174">
        <v>13</v>
      </c>
      <c r="T174" t="str">
        <f>_xlfn.CONCAT(Table_Trailer_Restock[[#This Row],[Macro Sort]]," ",Table_Trailer_Restock[[#This Row],[Location]])</f>
        <v>T11 HDPE Fittings</v>
      </c>
    </row>
    <row r="175" spans="1:20" x14ac:dyDescent="0.45">
      <c r="A175">
        <v>164</v>
      </c>
      <c r="B175" t="s">
        <v>431</v>
      </c>
      <c r="E175" t="s">
        <v>391</v>
      </c>
      <c r="F175" s="16" t="s">
        <v>432</v>
      </c>
      <c r="G175" s="16">
        <v>6</v>
      </c>
      <c r="H175" s="16">
        <v>6</v>
      </c>
      <c r="I175" t="s">
        <v>1064</v>
      </c>
      <c r="J175" t="b">
        <v>1</v>
      </c>
      <c r="K175" t="b">
        <v>1</v>
      </c>
      <c r="L175" t="b">
        <v>0</v>
      </c>
      <c r="M175" s="9"/>
      <c r="N175" t="s">
        <v>907</v>
      </c>
      <c r="O175">
        <v>1</v>
      </c>
      <c r="P175">
        <v>1</v>
      </c>
      <c r="Q175" t="s">
        <v>848</v>
      </c>
      <c r="R175" t="str">
        <f>_xlfn.XLOOKUP(Table_Trailer_Restock[[#This Row],[Location]],Table_Trailer_Location[[Label ]],Table_Trailer_Location[Sort Order],"",0,1)</f>
        <v>T11</v>
      </c>
      <c r="S175">
        <v>14</v>
      </c>
      <c r="T175" t="str">
        <f>_xlfn.CONCAT(Table_Trailer_Restock[[#This Row],[Macro Sort]]," ",Table_Trailer_Restock[[#This Row],[Location]])</f>
        <v>T11 HDPE Fittings</v>
      </c>
    </row>
    <row r="176" spans="1:20" x14ac:dyDescent="0.45">
      <c r="A176">
        <v>165</v>
      </c>
      <c r="B176" t="s">
        <v>433</v>
      </c>
      <c r="E176" t="s">
        <v>391</v>
      </c>
      <c r="F176" s="16" t="s">
        <v>435</v>
      </c>
      <c r="G176" s="16">
        <v>40</v>
      </c>
      <c r="H176" s="16">
        <v>20</v>
      </c>
      <c r="I176" t="s">
        <v>1065</v>
      </c>
      <c r="J176" t="b">
        <v>1</v>
      </c>
      <c r="K176" t="b">
        <v>1</v>
      </c>
      <c r="L176" t="b">
        <v>0</v>
      </c>
      <c r="M176" s="9"/>
      <c r="N176" t="s">
        <v>434</v>
      </c>
      <c r="O176">
        <v>4</v>
      </c>
      <c r="P176">
        <v>2</v>
      </c>
      <c r="Q176" t="s">
        <v>848</v>
      </c>
      <c r="R176" t="str">
        <f>_xlfn.XLOOKUP(Table_Trailer_Restock[[#This Row],[Location]],Table_Trailer_Location[[Label ]],Table_Trailer_Location[Sort Order],"",0,1)</f>
        <v>T12</v>
      </c>
      <c r="S176">
        <v>1</v>
      </c>
      <c r="T176" t="str">
        <f>_xlfn.CONCAT(Table_Trailer_Restock[[#This Row],[Macro Sort]]," ",Table_Trailer_Restock[[#This Row],[Location]])</f>
        <v>T12 Hose Fittings &amp; Pipe</v>
      </c>
    </row>
    <row r="177" spans="1:20" x14ac:dyDescent="0.45">
      <c r="A177">
        <v>166</v>
      </c>
      <c r="B177" t="s">
        <v>436</v>
      </c>
      <c r="E177" t="s">
        <v>391</v>
      </c>
      <c r="F177" s="16" t="s">
        <v>438</v>
      </c>
      <c r="G177" s="16">
        <v>12</v>
      </c>
      <c r="H177" s="16">
        <v>8</v>
      </c>
      <c r="I177" t="s">
        <v>1066</v>
      </c>
      <c r="J177" t="b">
        <v>1</v>
      </c>
      <c r="K177" t="b">
        <v>1</v>
      </c>
      <c r="L177" t="b">
        <v>0</v>
      </c>
      <c r="M177" s="9"/>
      <c r="N177" t="s">
        <v>434</v>
      </c>
      <c r="O177">
        <v>2</v>
      </c>
      <c r="P177">
        <v>1</v>
      </c>
      <c r="Q177" t="s">
        <v>848</v>
      </c>
      <c r="R177" t="str">
        <f>_xlfn.XLOOKUP(Table_Trailer_Restock[[#This Row],[Location]],Table_Trailer_Location[[Label ]],Table_Trailer_Location[Sort Order],"",0,1)</f>
        <v>T12</v>
      </c>
      <c r="S177">
        <v>2</v>
      </c>
      <c r="T177" t="str">
        <f>_xlfn.CONCAT(Table_Trailer_Restock[[#This Row],[Macro Sort]]," ",Table_Trailer_Restock[[#This Row],[Location]])</f>
        <v>T12 Hose Fittings &amp; Pipe</v>
      </c>
    </row>
    <row r="178" spans="1:20" x14ac:dyDescent="0.45">
      <c r="A178">
        <v>167</v>
      </c>
      <c r="B178" t="s">
        <v>439</v>
      </c>
      <c r="E178" t="s">
        <v>391</v>
      </c>
      <c r="F178" s="16" t="s">
        <v>440</v>
      </c>
      <c r="G178" s="16">
        <v>40</v>
      </c>
      <c r="H178" s="16">
        <v>20</v>
      </c>
      <c r="I178" t="s">
        <v>1067</v>
      </c>
      <c r="J178" t="b">
        <v>1</v>
      </c>
      <c r="K178" t="b">
        <v>1</v>
      </c>
      <c r="L178" t="b">
        <v>0</v>
      </c>
      <c r="M178" s="9"/>
      <c r="N178" t="s">
        <v>434</v>
      </c>
      <c r="O178">
        <v>4</v>
      </c>
      <c r="P178">
        <v>2</v>
      </c>
      <c r="Q178" t="s">
        <v>848</v>
      </c>
      <c r="R178" t="str">
        <f>_xlfn.XLOOKUP(Table_Trailer_Restock[[#This Row],[Location]],Table_Trailer_Location[[Label ]],Table_Trailer_Location[Sort Order],"",0,1)</f>
        <v>T12</v>
      </c>
      <c r="S178">
        <v>3</v>
      </c>
      <c r="T178" t="str">
        <f>_xlfn.CONCAT(Table_Trailer_Restock[[#This Row],[Macro Sort]]," ",Table_Trailer_Restock[[#This Row],[Location]])</f>
        <v>T12 Hose Fittings &amp; Pipe</v>
      </c>
    </row>
    <row r="179" spans="1:20" x14ac:dyDescent="0.45">
      <c r="A179">
        <v>168</v>
      </c>
      <c r="B179" t="s">
        <v>441</v>
      </c>
      <c r="E179" t="s">
        <v>391</v>
      </c>
      <c r="F179" s="16" t="s">
        <v>442</v>
      </c>
      <c r="G179" s="16">
        <v>12</v>
      </c>
      <c r="H179" s="16">
        <v>8</v>
      </c>
      <c r="I179" t="s">
        <v>1068</v>
      </c>
      <c r="J179" t="b">
        <v>1</v>
      </c>
      <c r="K179" t="b">
        <v>1</v>
      </c>
      <c r="L179" t="b">
        <v>0</v>
      </c>
      <c r="M179" s="9"/>
      <c r="N179" t="s">
        <v>434</v>
      </c>
      <c r="O179">
        <v>4</v>
      </c>
      <c r="P179">
        <v>2</v>
      </c>
      <c r="Q179" t="s">
        <v>848</v>
      </c>
      <c r="R179" t="str">
        <f>_xlfn.XLOOKUP(Table_Trailer_Restock[[#This Row],[Location]],Table_Trailer_Location[[Label ]],Table_Trailer_Location[Sort Order],"",0,1)</f>
        <v>T12</v>
      </c>
      <c r="S179">
        <v>4</v>
      </c>
      <c r="T179" t="str">
        <f>_xlfn.CONCAT(Table_Trailer_Restock[[#This Row],[Macro Sort]]," ",Table_Trailer_Restock[[#This Row],[Location]])</f>
        <v>T12 Hose Fittings &amp; Pipe</v>
      </c>
    </row>
    <row r="180" spans="1:20" x14ac:dyDescent="0.45">
      <c r="A180">
        <v>169</v>
      </c>
      <c r="B180" t="s">
        <v>443</v>
      </c>
      <c r="E180" t="s">
        <v>391</v>
      </c>
      <c r="F180" s="16" t="s">
        <v>444</v>
      </c>
      <c r="G180" s="16" t="s">
        <v>445</v>
      </c>
      <c r="H180" s="16" t="s">
        <v>446</v>
      </c>
      <c r="I180" t="s">
        <v>1069</v>
      </c>
      <c r="J180" t="b">
        <v>1</v>
      </c>
      <c r="K180" t="b">
        <v>1</v>
      </c>
      <c r="L180" t="b">
        <v>0</v>
      </c>
      <c r="M180" s="9"/>
      <c r="N180" t="s">
        <v>434</v>
      </c>
      <c r="O180" t="s">
        <v>1070</v>
      </c>
      <c r="P180" t="s">
        <v>1071</v>
      </c>
      <c r="Q180" t="s">
        <v>848</v>
      </c>
      <c r="R180" t="str">
        <f>_xlfn.XLOOKUP(Table_Trailer_Restock[[#This Row],[Location]],Table_Trailer_Location[[Label ]],Table_Trailer_Location[Sort Order],"",0,1)</f>
        <v>T12</v>
      </c>
      <c r="S180">
        <v>5</v>
      </c>
      <c r="T180" t="str">
        <f>_xlfn.CONCAT(Table_Trailer_Restock[[#This Row],[Macro Sort]]," ",Table_Trailer_Restock[[#This Row],[Location]])</f>
        <v>T12 Hose Fittings &amp; Pipe</v>
      </c>
    </row>
    <row r="181" spans="1:20" x14ac:dyDescent="0.45">
      <c r="A181">
        <v>170</v>
      </c>
      <c r="B181" t="s">
        <v>447</v>
      </c>
      <c r="E181" t="s">
        <v>391</v>
      </c>
      <c r="F181" s="16" t="s">
        <v>448</v>
      </c>
      <c r="G181" s="16">
        <v>30</v>
      </c>
      <c r="H181" s="16">
        <v>16</v>
      </c>
      <c r="I181" t="s">
        <v>1072</v>
      </c>
      <c r="J181" t="b">
        <v>1</v>
      </c>
      <c r="K181" t="b">
        <v>1</v>
      </c>
      <c r="L181" t="b">
        <v>0</v>
      </c>
      <c r="M181" s="9"/>
      <c r="N181" t="s">
        <v>434</v>
      </c>
      <c r="O181">
        <v>4</v>
      </c>
      <c r="P181">
        <v>2</v>
      </c>
      <c r="Q181" t="s">
        <v>848</v>
      </c>
      <c r="R181" t="str">
        <f>_xlfn.XLOOKUP(Table_Trailer_Restock[[#This Row],[Location]],Table_Trailer_Location[[Label ]],Table_Trailer_Location[Sort Order],"",0,1)</f>
        <v>T12</v>
      </c>
      <c r="S181">
        <v>6</v>
      </c>
      <c r="T181" t="str">
        <f>_xlfn.CONCAT(Table_Trailer_Restock[[#This Row],[Macro Sort]]," ",Table_Trailer_Restock[[#This Row],[Location]])</f>
        <v>T12 Hose Fittings &amp; Pipe</v>
      </c>
    </row>
    <row r="182" spans="1:20" x14ac:dyDescent="0.45">
      <c r="A182">
        <v>171</v>
      </c>
      <c r="B182" t="s">
        <v>449</v>
      </c>
      <c r="E182" t="s">
        <v>40</v>
      </c>
      <c r="F182" s="16" t="s">
        <v>450</v>
      </c>
      <c r="G182" s="16">
        <v>16</v>
      </c>
      <c r="H182" s="16">
        <v>8</v>
      </c>
      <c r="I182" t="s">
        <v>1073</v>
      </c>
      <c r="J182" t="b">
        <v>1</v>
      </c>
      <c r="K182" t="b">
        <v>1</v>
      </c>
      <c r="L182" t="b">
        <v>0</v>
      </c>
      <c r="M182" s="9"/>
      <c r="N182" t="s">
        <v>434</v>
      </c>
      <c r="O182">
        <v>4</v>
      </c>
      <c r="P182">
        <v>2</v>
      </c>
      <c r="Q182" t="s">
        <v>848</v>
      </c>
      <c r="R182" t="str">
        <f>_xlfn.XLOOKUP(Table_Trailer_Restock[[#This Row],[Location]],Table_Trailer_Location[[Label ]],Table_Trailer_Location[Sort Order],"",0,1)</f>
        <v>T12</v>
      </c>
      <c r="S182">
        <v>7</v>
      </c>
      <c r="T182" t="str">
        <f>_xlfn.CONCAT(Table_Trailer_Restock[[#This Row],[Macro Sort]]," ",Table_Trailer_Restock[[#This Row],[Location]])</f>
        <v>T12 Hose Fittings &amp; Pipe</v>
      </c>
    </row>
    <row r="183" spans="1:20" x14ac:dyDescent="0.45">
      <c r="A183">
        <v>172</v>
      </c>
      <c r="B183" t="s">
        <v>451</v>
      </c>
      <c r="E183" t="s">
        <v>391</v>
      </c>
      <c r="F183" s="16" t="s">
        <v>453</v>
      </c>
      <c r="G183" s="16">
        <v>100</v>
      </c>
      <c r="H183" s="16">
        <v>24</v>
      </c>
      <c r="I183" t="s">
        <v>1074</v>
      </c>
      <c r="J183" t="b">
        <v>1</v>
      </c>
      <c r="K183" t="b">
        <v>1</v>
      </c>
      <c r="L183" t="b">
        <v>0</v>
      </c>
      <c r="M183" s="9"/>
      <c r="N183" t="s">
        <v>434</v>
      </c>
      <c r="O183">
        <v>20</v>
      </c>
      <c r="P183">
        <v>8</v>
      </c>
      <c r="Q183" t="s">
        <v>848</v>
      </c>
      <c r="R183" t="str">
        <f>_xlfn.XLOOKUP(Table_Trailer_Restock[[#This Row],[Location]],Table_Trailer_Location[[Label ]],Table_Trailer_Location[Sort Order],"",0,1)</f>
        <v>T12</v>
      </c>
      <c r="S183">
        <v>8</v>
      </c>
      <c r="T183" t="str">
        <f>_xlfn.CONCAT(Table_Trailer_Restock[[#This Row],[Macro Sort]]," ",Table_Trailer_Restock[[#This Row],[Location]])</f>
        <v>T12 Hose Fittings &amp; Pipe</v>
      </c>
    </row>
    <row r="184" spans="1:20" x14ac:dyDescent="0.45">
      <c r="A184">
        <v>173</v>
      </c>
      <c r="B184" t="s">
        <v>454</v>
      </c>
      <c r="E184" t="s">
        <v>457</v>
      </c>
      <c r="F184" s="16"/>
      <c r="G184" s="16" t="s">
        <v>115</v>
      </c>
      <c r="H184" s="16" t="s">
        <v>116</v>
      </c>
      <c r="I184" t="s">
        <v>1075</v>
      </c>
      <c r="J184" t="b">
        <v>1</v>
      </c>
      <c r="K184" t="b">
        <v>1</v>
      </c>
      <c r="L184" t="b">
        <v>0</v>
      </c>
      <c r="M184" s="9"/>
      <c r="N184" t="s">
        <v>455</v>
      </c>
      <c r="O184">
        <v>12</v>
      </c>
      <c r="P184">
        <v>6</v>
      </c>
      <c r="Q184" t="s">
        <v>848</v>
      </c>
      <c r="R184" t="str">
        <f>_xlfn.XLOOKUP(Table_Trailer_Restock[[#This Row],[Location]],Table_Trailer_Location[[Label ]],Table_Trailer_Location[Sort Order],"",0,1)</f>
        <v>T13</v>
      </c>
      <c r="S184">
        <v>1</v>
      </c>
      <c r="T184" t="str">
        <f>_xlfn.CONCAT(Table_Trailer_Restock[[#This Row],[Macro Sort]]," ",Table_Trailer_Restock[[#This Row],[Location]])</f>
        <v>T13 Insulation</v>
      </c>
    </row>
    <row r="185" spans="1:20" x14ac:dyDescent="0.45">
      <c r="A185">
        <v>174</v>
      </c>
      <c r="B185" t="s">
        <v>458</v>
      </c>
      <c r="E185" t="s">
        <v>457</v>
      </c>
      <c r="F185" s="16"/>
      <c r="G185" s="16" t="s">
        <v>460</v>
      </c>
      <c r="H185" s="16" t="s">
        <v>461</v>
      </c>
      <c r="I185" t="s">
        <v>1076</v>
      </c>
      <c r="J185" t="b">
        <v>1</v>
      </c>
      <c r="K185" t="b">
        <v>1</v>
      </c>
      <c r="L185" t="b">
        <v>0</v>
      </c>
      <c r="M185" s="9"/>
      <c r="N185" t="s">
        <v>455</v>
      </c>
      <c r="O185">
        <v>24</v>
      </c>
      <c r="P185">
        <v>12</v>
      </c>
      <c r="Q185" t="s">
        <v>848</v>
      </c>
      <c r="R185" t="str">
        <f>_xlfn.XLOOKUP(Table_Trailer_Restock[[#This Row],[Location]],Table_Trailer_Location[[Label ]],Table_Trailer_Location[Sort Order],"",0,1)</f>
        <v>T13</v>
      </c>
      <c r="S185">
        <v>2</v>
      </c>
      <c r="T185" t="str">
        <f>_xlfn.CONCAT(Table_Trailer_Restock[[#This Row],[Macro Sort]]," ",Table_Trailer_Restock[[#This Row],[Location]])</f>
        <v>T13 Insulation</v>
      </c>
    </row>
    <row r="186" spans="1:20" x14ac:dyDescent="0.45">
      <c r="A186">
        <v>175</v>
      </c>
      <c r="B186" t="s">
        <v>462</v>
      </c>
      <c r="E186" t="s">
        <v>457</v>
      </c>
      <c r="F186" s="16"/>
      <c r="G186" s="16" t="s">
        <v>284</v>
      </c>
      <c r="H186" s="16" t="s">
        <v>464</v>
      </c>
      <c r="I186" t="s">
        <v>1077</v>
      </c>
      <c r="J186" t="b">
        <v>1</v>
      </c>
      <c r="K186" t="b">
        <v>1</v>
      </c>
      <c r="L186" t="b">
        <v>0</v>
      </c>
      <c r="M186" s="9"/>
      <c r="N186" t="s">
        <v>455</v>
      </c>
      <c r="O186">
        <v>12</v>
      </c>
      <c r="P186">
        <v>6</v>
      </c>
      <c r="Q186" t="s">
        <v>848</v>
      </c>
      <c r="R186" t="str">
        <f>_xlfn.XLOOKUP(Table_Trailer_Restock[[#This Row],[Location]],Table_Trailer_Location[[Label ]],Table_Trailer_Location[Sort Order],"",0,1)</f>
        <v>T13</v>
      </c>
      <c r="S186">
        <v>3</v>
      </c>
      <c r="T186" t="str">
        <f>_xlfn.CONCAT(Table_Trailer_Restock[[#This Row],[Macro Sort]]," ",Table_Trailer_Restock[[#This Row],[Location]])</f>
        <v>T13 Insulation</v>
      </c>
    </row>
    <row r="187" spans="1:20" x14ac:dyDescent="0.45">
      <c r="A187">
        <v>176</v>
      </c>
      <c r="B187" t="s">
        <v>465</v>
      </c>
      <c r="E187" t="s">
        <v>457</v>
      </c>
      <c r="F187" s="16"/>
      <c r="G187" s="16" t="s">
        <v>284</v>
      </c>
      <c r="H187" s="16" t="s">
        <v>464</v>
      </c>
      <c r="I187" t="s">
        <v>1078</v>
      </c>
      <c r="J187" t="b">
        <v>1</v>
      </c>
      <c r="K187" t="b">
        <v>1</v>
      </c>
      <c r="L187" t="b">
        <v>0</v>
      </c>
      <c r="M187" s="9"/>
      <c r="N187" t="s">
        <v>455</v>
      </c>
      <c r="O187">
        <v>12</v>
      </c>
      <c r="P187">
        <v>6</v>
      </c>
      <c r="Q187" t="s">
        <v>848</v>
      </c>
      <c r="R187" t="str">
        <f>_xlfn.XLOOKUP(Table_Trailer_Restock[[#This Row],[Location]],Table_Trailer_Location[[Label ]],Table_Trailer_Location[Sort Order],"",0,1)</f>
        <v>T13</v>
      </c>
      <c r="S187">
        <v>4</v>
      </c>
      <c r="T187" t="str">
        <f>_xlfn.CONCAT(Table_Trailer_Restock[[#This Row],[Macro Sort]]," ",Table_Trailer_Restock[[#This Row],[Location]])</f>
        <v>T13 Insulation</v>
      </c>
    </row>
    <row r="188" spans="1:20" x14ac:dyDescent="0.45">
      <c r="A188">
        <v>177</v>
      </c>
      <c r="B188" t="s">
        <v>466</v>
      </c>
      <c r="E188" t="s">
        <v>457</v>
      </c>
      <c r="F188" s="16"/>
      <c r="G188" s="16" t="s">
        <v>460</v>
      </c>
      <c r="H188" s="16" t="s">
        <v>461</v>
      </c>
      <c r="I188" t="s">
        <v>1079</v>
      </c>
      <c r="J188" t="b">
        <v>1</v>
      </c>
      <c r="K188" t="b">
        <v>1</v>
      </c>
      <c r="L188" t="b">
        <v>0</v>
      </c>
      <c r="M188" s="9"/>
      <c r="N188" t="s">
        <v>455</v>
      </c>
      <c r="O188">
        <v>24</v>
      </c>
      <c r="P188">
        <v>12</v>
      </c>
      <c r="Q188" t="s">
        <v>848</v>
      </c>
      <c r="R188" t="str">
        <f>_xlfn.XLOOKUP(Table_Trailer_Restock[[#This Row],[Location]],Table_Trailer_Location[[Label ]],Table_Trailer_Location[Sort Order],"",0,1)</f>
        <v>T13</v>
      </c>
      <c r="S188">
        <v>5</v>
      </c>
      <c r="T188" t="str">
        <f>_xlfn.CONCAT(Table_Trailer_Restock[[#This Row],[Macro Sort]]," ",Table_Trailer_Restock[[#This Row],[Location]])</f>
        <v>T13 Insulation</v>
      </c>
    </row>
    <row r="189" spans="1:20" x14ac:dyDescent="0.45">
      <c r="A189">
        <v>178</v>
      </c>
      <c r="B189" t="s">
        <v>468</v>
      </c>
      <c r="E189" t="s">
        <v>457</v>
      </c>
      <c r="F189" s="16"/>
      <c r="G189" s="16" t="s">
        <v>469</v>
      </c>
      <c r="H189" s="16" t="s">
        <v>284</v>
      </c>
      <c r="I189" t="s">
        <v>1080</v>
      </c>
      <c r="J189" t="b">
        <v>1</v>
      </c>
      <c r="K189" t="b">
        <v>1</v>
      </c>
      <c r="L189" t="b">
        <v>0</v>
      </c>
      <c r="M189" s="9"/>
      <c r="N189" t="s">
        <v>455</v>
      </c>
      <c r="O189">
        <v>12</v>
      </c>
      <c r="P189">
        <v>6</v>
      </c>
      <c r="Q189" t="s">
        <v>848</v>
      </c>
      <c r="R189" t="str">
        <f>_xlfn.XLOOKUP(Table_Trailer_Restock[[#This Row],[Location]],Table_Trailer_Location[[Label ]],Table_Trailer_Location[Sort Order],"",0,1)</f>
        <v>T13</v>
      </c>
      <c r="S189">
        <v>6</v>
      </c>
      <c r="T189" t="str">
        <f>_xlfn.CONCAT(Table_Trailer_Restock[[#This Row],[Macro Sort]]," ",Table_Trailer_Restock[[#This Row],[Location]])</f>
        <v>T13 Insulation</v>
      </c>
    </row>
    <row r="190" spans="1:20" x14ac:dyDescent="0.45">
      <c r="A190">
        <v>179</v>
      </c>
      <c r="B190" t="s">
        <v>470</v>
      </c>
      <c r="E190" t="s">
        <v>471</v>
      </c>
      <c r="F190" s="16"/>
      <c r="G190" s="16" t="s">
        <v>472</v>
      </c>
      <c r="H190" s="16" t="s">
        <v>473</v>
      </c>
      <c r="I190" t="s">
        <v>1081</v>
      </c>
      <c r="J190" t="b">
        <v>1</v>
      </c>
      <c r="K190" t="b">
        <v>1</v>
      </c>
      <c r="L190" t="b">
        <v>0</v>
      </c>
      <c r="M190" s="9"/>
      <c r="N190" t="s">
        <v>455</v>
      </c>
      <c r="O190">
        <v>12</v>
      </c>
      <c r="P190">
        <v>6</v>
      </c>
      <c r="Q190" t="s">
        <v>848</v>
      </c>
      <c r="R190" t="str">
        <f>_xlfn.XLOOKUP(Table_Trailer_Restock[[#This Row],[Location]],Table_Trailer_Location[[Label ]],Table_Trailer_Location[Sort Order],"",0,1)</f>
        <v>T13</v>
      </c>
      <c r="S190">
        <v>7</v>
      </c>
      <c r="T190" t="str">
        <f>_xlfn.CONCAT(Table_Trailer_Restock[[#This Row],[Macro Sort]]," ",Table_Trailer_Restock[[#This Row],[Location]])</f>
        <v>T13 Insulation</v>
      </c>
    </row>
    <row r="191" spans="1:20" x14ac:dyDescent="0.45">
      <c r="A191">
        <v>180</v>
      </c>
      <c r="B191" t="s">
        <v>474</v>
      </c>
      <c r="F191" s="16"/>
      <c r="G191" s="16">
        <v>50</v>
      </c>
      <c r="H191" s="16">
        <v>10</v>
      </c>
      <c r="I191" t="s">
        <v>1082</v>
      </c>
      <c r="J191" t="b">
        <v>1</v>
      </c>
      <c r="K191" t="b">
        <v>1</v>
      </c>
      <c r="L191" t="b">
        <v>0</v>
      </c>
      <c r="M191" s="9"/>
      <c r="N191" t="s">
        <v>475</v>
      </c>
      <c r="O191">
        <v>2</v>
      </c>
      <c r="P191">
        <v>1</v>
      </c>
      <c r="Q191" t="s">
        <v>848</v>
      </c>
      <c r="R191" t="str">
        <f>_xlfn.XLOOKUP(Table_Trailer_Restock[[#This Row],[Location]],Table_Trailer_Location[[Label ]],Table_Trailer_Location[Sort Order],"",0,1)</f>
        <v>T14</v>
      </c>
      <c r="S191">
        <v>1</v>
      </c>
      <c r="T191" t="str">
        <f>_xlfn.CONCAT(Table_Trailer_Restock[[#This Row],[Macro Sort]]," ",Table_Trailer_Restock[[#This Row],[Location]])</f>
        <v>T14 Marketing</v>
      </c>
    </row>
    <row r="192" spans="1:20" x14ac:dyDescent="0.45">
      <c r="A192">
        <v>181</v>
      </c>
      <c r="B192" t="s">
        <v>476</v>
      </c>
      <c r="F192" s="16"/>
      <c r="G192" s="16">
        <v>50</v>
      </c>
      <c r="H192" s="16">
        <v>10</v>
      </c>
      <c r="I192" t="s">
        <v>1083</v>
      </c>
      <c r="J192" t="b">
        <v>1</v>
      </c>
      <c r="K192" t="b">
        <v>1</v>
      </c>
      <c r="L192" t="b">
        <v>0</v>
      </c>
      <c r="M192" s="9"/>
      <c r="N192" t="s">
        <v>475</v>
      </c>
      <c r="O192">
        <v>2</v>
      </c>
      <c r="P192">
        <v>1</v>
      </c>
      <c r="Q192" t="s">
        <v>848</v>
      </c>
      <c r="R192" t="str">
        <f>_xlfn.XLOOKUP(Table_Trailer_Restock[[#This Row],[Location]],Table_Trailer_Location[[Label ]],Table_Trailer_Location[Sort Order],"",0,1)</f>
        <v>T14</v>
      </c>
      <c r="S192">
        <v>2</v>
      </c>
      <c r="T192" t="str">
        <f>_xlfn.CONCAT(Table_Trailer_Restock[[#This Row],[Macro Sort]]," ",Table_Trailer_Restock[[#This Row],[Location]])</f>
        <v>T14 Marketing</v>
      </c>
    </row>
    <row r="193" spans="1:20" x14ac:dyDescent="0.45">
      <c r="A193">
        <v>182</v>
      </c>
      <c r="B193" t="s">
        <v>477</v>
      </c>
      <c r="F193" s="16"/>
      <c r="G193" s="16">
        <v>200</v>
      </c>
      <c r="H193" s="16">
        <v>50</v>
      </c>
      <c r="I193" t="s">
        <v>1084</v>
      </c>
      <c r="J193" t="b">
        <v>1</v>
      </c>
      <c r="K193" t="b">
        <v>1</v>
      </c>
      <c r="L193" t="b">
        <v>0</v>
      </c>
      <c r="M193" s="9"/>
      <c r="N193" t="s">
        <v>475</v>
      </c>
      <c r="O193">
        <v>12</v>
      </c>
      <c r="P193">
        <v>4</v>
      </c>
      <c r="Q193" t="s">
        <v>848</v>
      </c>
      <c r="R193" t="str">
        <f>_xlfn.XLOOKUP(Table_Trailer_Restock[[#This Row],[Location]],Table_Trailer_Location[[Label ]],Table_Trailer_Location[Sort Order],"",0,1)</f>
        <v>T14</v>
      </c>
      <c r="S193">
        <v>3</v>
      </c>
      <c r="T193" t="str">
        <f>_xlfn.CONCAT(Table_Trailer_Restock[[#This Row],[Macro Sort]]," ",Table_Trailer_Restock[[#This Row],[Location]])</f>
        <v>T14 Marketing</v>
      </c>
    </row>
    <row r="194" spans="1:20" x14ac:dyDescent="0.45">
      <c r="A194">
        <v>183</v>
      </c>
      <c r="B194" t="s">
        <v>478</v>
      </c>
      <c r="F194" s="16"/>
      <c r="G194" s="16">
        <v>200</v>
      </c>
      <c r="H194" s="16">
        <v>50</v>
      </c>
      <c r="I194" t="s">
        <v>1085</v>
      </c>
      <c r="J194" t="b">
        <v>1</v>
      </c>
      <c r="K194" t="b">
        <v>1</v>
      </c>
      <c r="L194" t="b">
        <v>0</v>
      </c>
      <c r="M194" s="9"/>
      <c r="N194" t="s">
        <v>475</v>
      </c>
      <c r="Q194" t="s">
        <v>848</v>
      </c>
      <c r="R194" t="str">
        <f>_xlfn.XLOOKUP(Table_Trailer_Restock[[#This Row],[Location]],Table_Trailer_Location[[Label ]],Table_Trailer_Location[Sort Order],"",0,1)</f>
        <v>T14</v>
      </c>
      <c r="S194">
        <v>4</v>
      </c>
      <c r="T194" t="str">
        <f>_xlfn.CONCAT(Table_Trailer_Restock[[#This Row],[Macro Sort]]," ",Table_Trailer_Restock[[#This Row],[Location]])</f>
        <v>T14 Marketing</v>
      </c>
    </row>
    <row r="195" spans="1:20" x14ac:dyDescent="0.45">
      <c r="A195">
        <v>184</v>
      </c>
      <c r="B195" t="s">
        <v>479</v>
      </c>
      <c r="F195" s="16"/>
      <c r="G195" s="16">
        <v>200</v>
      </c>
      <c r="H195" s="16">
        <v>50</v>
      </c>
      <c r="I195" t="s">
        <v>1086</v>
      </c>
      <c r="J195" t="b">
        <v>1</v>
      </c>
      <c r="K195" t="b">
        <v>1</v>
      </c>
      <c r="L195" t="b">
        <v>0</v>
      </c>
      <c r="M195" s="9"/>
      <c r="N195" t="s">
        <v>475</v>
      </c>
      <c r="Q195" t="s">
        <v>848</v>
      </c>
      <c r="R195" t="str">
        <f>_xlfn.XLOOKUP(Table_Trailer_Restock[[#This Row],[Location]],Table_Trailer_Location[[Label ]],Table_Trailer_Location[Sort Order],"",0,1)</f>
        <v>T14</v>
      </c>
      <c r="S195">
        <v>5</v>
      </c>
      <c r="T195" t="str">
        <f>_xlfn.CONCAT(Table_Trailer_Restock[[#This Row],[Macro Sort]]," ",Table_Trailer_Restock[[#This Row],[Location]])</f>
        <v>T14 Marketing</v>
      </c>
    </row>
    <row r="196" spans="1:20" x14ac:dyDescent="0.45">
      <c r="A196">
        <v>185</v>
      </c>
      <c r="B196" t="s">
        <v>480</v>
      </c>
      <c r="F196" s="16"/>
      <c r="G196" s="16">
        <v>200</v>
      </c>
      <c r="H196" s="16">
        <v>50</v>
      </c>
      <c r="I196" t="s">
        <v>1087</v>
      </c>
      <c r="J196" t="b">
        <v>1</v>
      </c>
      <c r="K196" t="b">
        <v>1</v>
      </c>
      <c r="L196" t="b">
        <v>0</v>
      </c>
      <c r="M196" s="9"/>
      <c r="N196" t="s">
        <v>475</v>
      </c>
      <c r="Q196" t="s">
        <v>848</v>
      </c>
      <c r="R196" t="str">
        <f>_xlfn.XLOOKUP(Table_Trailer_Restock[[#This Row],[Location]],Table_Trailer_Location[[Label ]],Table_Trailer_Location[Sort Order],"",0,1)</f>
        <v>T14</v>
      </c>
      <c r="S196">
        <v>6</v>
      </c>
      <c r="T196" t="str">
        <f>_xlfn.CONCAT(Table_Trailer_Restock[[#This Row],[Macro Sort]]," ",Table_Trailer_Restock[[#This Row],[Location]])</f>
        <v>T14 Marketing</v>
      </c>
    </row>
    <row r="197" spans="1:20" x14ac:dyDescent="0.45">
      <c r="A197">
        <v>186</v>
      </c>
      <c r="B197" t="s">
        <v>481</v>
      </c>
      <c r="E197" t="s">
        <v>29</v>
      </c>
      <c r="F197" s="16">
        <v>1001801632</v>
      </c>
      <c r="G197" s="16">
        <v>10</v>
      </c>
      <c r="H197" s="16">
        <v>9</v>
      </c>
      <c r="I197" t="s">
        <v>1088</v>
      </c>
      <c r="J197" t="b">
        <v>1</v>
      </c>
      <c r="K197" t="b">
        <v>1</v>
      </c>
      <c r="L197" t="b">
        <v>0</v>
      </c>
      <c r="M197" s="9"/>
      <c r="N197" t="s">
        <v>916</v>
      </c>
      <c r="Q197" t="s">
        <v>848</v>
      </c>
      <c r="R197" t="str">
        <f>_xlfn.XLOOKUP(Table_Trailer_Restock[[#This Row],[Location]],Table_Trailer_Location[[Label ]],Table_Trailer_Location[Sort Order],"",0,1)</f>
        <v>T18</v>
      </c>
      <c r="S197">
        <v>1</v>
      </c>
      <c r="T197" t="str">
        <f>_xlfn.CONCAT(Table_Trailer_Restock[[#This Row],[Macro Sort]]," ",Table_Trailer_Restock[[#This Row],[Location]])</f>
        <v>T18 Perishable Items</v>
      </c>
    </row>
    <row r="198" spans="1:20" x14ac:dyDescent="0.45">
      <c r="A198">
        <v>187</v>
      </c>
      <c r="B198" t="s">
        <v>485</v>
      </c>
      <c r="E198" t="s">
        <v>29</v>
      </c>
      <c r="F198" s="16">
        <v>1004676283</v>
      </c>
      <c r="G198" s="16">
        <v>12</v>
      </c>
      <c r="H198" s="16">
        <v>9</v>
      </c>
      <c r="I198" t="s">
        <v>1089</v>
      </c>
      <c r="J198" t="b">
        <v>1</v>
      </c>
      <c r="K198" t="b">
        <v>1</v>
      </c>
      <c r="L198" t="b">
        <v>0</v>
      </c>
      <c r="M198" s="9"/>
      <c r="N198" t="s">
        <v>916</v>
      </c>
      <c r="Q198" t="s">
        <v>848</v>
      </c>
      <c r="R198" t="str">
        <f>_xlfn.XLOOKUP(Table_Trailer_Restock[[#This Row],[Location]],Table_Trailer_Location[[Label ]],Table_Trailer_Location[Sort Order],"",0,1)</f>
        <v>T18</v>
      </c>
      <c r="S198">
        <v>2</v>
      </c>
      <c r="T198" t="str">
        <f>_xlfn.CONCAT(Table_Trailer_Restock[[#This Row],[Macro Sort]]," ",Table_Trailer_Restock[[#This Row],[Location]])</f>
        <v>T18 Perishable Items</v>
      </c>
    </row>
    <row r="199" spans="1:20" x14ac:dyDescent="0.45">
      <c r="A199">
        <v>188</v>
      </c>
      <c r="B199" t="s">
        <v>486</v>
      </c>
      <c r="E199" t="s">
        <v>29</v>
      </c>
      <c r="F199" s="16">
        <v>250355</v>
      </c>
      <c r="G199" s="16">
        <v>2</v>
      </c>
      <c r="H199" s="16">
        <v>1</v>
      </c>
      <c r="I199" t="s">
        <v>1090</v>
      </c>
      <c r="J199" t="b">
        <v>1</v>
      </c>
      <c r="K199" t="b">
        <v>1</v>
      </c>
      <c r="L199" t="b">
        <v>0</v>
      </c>
      <c r="M199" s="9"/>
      <c r="N199" t="s">
        <v>916</v>
      </c>
      <c r="Q199" t="s">
        <v>848</v>
      </c>
      <c r="R199" t="str">
        <f>_xlfn.XLOOKUP(Table_Trailer_Restock[[#This Row],[Location]],Table_Trailer_Location[[Label ]],Table_Trailer_Location[Sort Order],"",0,1)</f>
        <v>T18</v>
      </c>
      <c r="S199">
        <v>3</v>
      </c>
      <c r="T199" t="str">
        <f>_xlfn.CONCAT(Table_Trailer_Restock[[#This Row],[Macro Sort]]," ",Table_Trailer_Restock[[#This Row],[Location]])</f>
        <v>T18 Perishable Items</v>
      </c>
    </row>
    <row r="200" spans="1:20" x14ac:dyDescent="0.45">
      <c r="A200">
        <v>189</v>
      </c>
      <c r="B200" t="s">
        <v>488</v>
      </c>
      <c r="E200" t="s">
        <v>101</v>
      </c>
      <c r="F200" s="16" t="s">
        <v>489</v>
      </c>
      <c r="G200" s="16">
        <v>20</v>
      </c>
      <c r="H200" s="16">
        <v>10</v>
      </c>
      <c r="I200" t="s">
        <v>1091</v>
      </c>
      <c r="J200" t="b">
        <v>1</v>
      </c>
      <c r="K200" t="b">
        <v>1</v>
      </c>
      <c r="L200" t="b">
        <v>0</v>
      </c>
      <c r="M200" s="9"/>
      <c r="N200" t="s">
        <v>916</v>
      </c>
      <c r="Q200" t="s">
        <v>848</v>
      </c>
      <c r="R200" t="str">
        <f>_xlfn.XLOOKUP(Table_Trailer_Restock[[#This Row],[Location]],Table_Trailer_Location[[Label ]],Table_Trailer_Location[Sort Order],"",0,1)</f>
        <v>T18</v>
      </c>
      <c r="S200">
        <v>4</v>
      </c>
      <c r="T200" t="str">
        <f>_xlfn.CONCAT(Table_Trailer_Restock[[#This Row],[Macro Sort]]," ",Table_Trailer_Restock[[#This Row],[Location]])</f>
        <v>T18 Perishable Items</v>
      </c>
    </row>
    <row r="201" spans="1:20" x14ac:dyDescent="0.45">
      <c r="A201">
        <v>190</v>
      </c>
      <c r="B201" t="s">
        <v>490</v>
      </c>
      <c r="E201" t="s">
        <v>40</v>
      </c>
      <c r="F201" s="16">
        <v>30712</v>
      </c>
      <c r="G201" s="16">
        <v>3</v>
      </c>
      <c r="H201" s="16">
        <v>3</v>
      </c>
      <c r="I201" t="s">
        <v>1092</v>
      </c>
      <c r="J201" t="b">
        <v>1</v>
      </c>
      <c r="K201" t="b">
        <v>1</v>
      </c>
      <c r="L201" t="b">
        <v>0</v>
      </c>
      <c r="M201" s="9"/>
      <c r="N201" t="s">
        <v>916</v>
      </c>
      <c r="Q201" t="s">
        <v>848</v>
      </c>
      <c r="R201" t="str">
        <f>_xlfn.XLOOKUP(Table_Trailer_Restock[[#This Row],[Location]],Table_Trailer_Location[[Label ]],Table_Trailer_Location[Sort Order],"",0,1)</f>
        <v>T18</v>
      </c>
      <c r="S201">
        <v>5</v>
      </c>
      <c r="T201" t="str">
        <f>_xlfn.CONCAT(Table_Trailer_Restock[[#This Row],[Macro Sort]]," ",Table_Trailer_Restock[[#This Row],[Location]])</f>
        <v>T18 Perishable Items</v>
      </c>
    </row>
    <row r="202" spans="1:20" x14ac:dyDescent="0.45">
      <c r="A202">
        <v>191</v>
      </c>
      <c r="B202" t="s">
        <v>492</v>
      </c>
      <c r="E202" t="s">
        <v>494</v>
      </c>
      <c r="F202" s="16" t="s">
        <v>495</v>
      </c>
      <c r="G202" s="16">
        <v>1</v>
      </c>
      <c r="H202" s="16">
        <v>3</v>
      </c>
      <c r="I202" t="s">
        <v>1093</v>
      </c>
      <c r="J202" t="b">
        <v>1</v>
      </c>
      <c r="K202" t="b">
        <v>1</v>
      </c>
      <c r="L202" t="b">
        <v>0</v>
      </c>
      <c r="M202" s="9"/>
      <c r="N202" t="s">
        <v>916</v>
      </c>
      <c r="Q202" t="s">
        <v>848</v>
      </c>
      <c r="R202" t="str">
        <f>_xlfn.XLOOKUP(Table_Trailer_Restock[[#This Row],[Location]],Table_Trailer_Location[[Label ]],Table_Trailer_Location[Sort Order],"",0,1)</f>
        <v>T18</v>
      </c>
      <c r="S202">
        <v>6</v>
      </c>
      <c r="T202" t="str">
        <f>_xlfn.CONCAT(Table_Trailer_Restock[[#This Row],[Macro Sort]]," ",Table_Trailer_Restock[[#This Row],[Location]])</f>
        <v>T18 Perishable Items</v>
      </c>
    </row>
    <row r="203" spans="1:20" x14ac:dyDescent="0.45">
      <c r="A203">
        <v>192</v>
      </c>
      <c r="B203" t="s">
        <v>496</v>
      </c>
      <c r="E203" t="s">
        <v>40</v>
      </c>
      <c r="F203" s="16" t="s">
        <v>497</v>
      </c>
      <c r="G203" s="16">
        <v>10</v>
      </c>
      <c r="H203" s="16">
        <v>3</v>
      </c>
      <c r="I203" t="s">
        <v>1094</v>
      </c>
      <c r="J203" t="b">
        <v>1</v>
      </c>
      <c r="K203" t="b">
        <v>1</v>
      </c>
      <c r="L203" t="b">
        <v>0</v>
      </c>
      <c r="M203" s="9"/>
      <c r="N203" t="s">
        <v>916</v>
      </c>
      <c r="Q203" t="s">
        <v>848</v>
      </c>
      <c r="R203" t="str">
        <f>_xlfn.XLOOKUP(Table_Trailer_Restock[[#This Row],[Location]],Table_Trailer_Location[[Label ]],Table_Trailer_Location[Sort Order],"",0,1)</f>
        <v>T18</v>
      </c>
      <c r="S203">
        <v>7</v>
      </c>
      <c r="T203" t="str">
        <f>_xlfn.CONCAT(Table_Trailer_Restock[[#This Row],[Macro Sort]]," ",Table_Trailer_Restock[[#This Row],[Location]])</f>
        <v>T18 Perishable Items</v>
      </c>
    </row>
    <row r="204" spans="1:20" x14ac:dyDescent="0.45">
      <c r="A204">
        <v>193</v>
      </c>
      <c r="B204" t="s">
        <v>498</v>
      </c>
      <c r="E204" t="s">
        <v>29</v>
      </c>
      <c r="F204" s="16">
        <v>759837</v>
      </c>
      <c r="G204" s="16">
        <v>6</v>
      </c>
      <c r="H204" s="16">
        <v>3</v>
      </c>
      <c r="I204" t="s">
        <v>1095</v>
      </c>
      <c r="J204" t="b">
        <v>1</v>
      </c>
      <c r="K204" t="b">
        <v>1</v>
      </c>
      <c r="L204" t="b">
        <v>0</v>
      </c>
      <c r="M204" s="9"/>
      <c r="N204" t="s">
        <v>916</v>
      </c>
      <c r="Q204" t="s">
        <v>848</v>
      </c>
      <c r="R204" t="str">
        <f>_xlfn.XLOOKUP(Table_Trailer_Restock[[#This Row],[Location]],Table_Trailer_Location[[Label ]],Table_Trailer_Location[Sort Order],"",0,1)</f>
        <v>T18</v>
      </c>
      <c r="S204">
        <v>8</v>
      </c>
      <c r="T204" t="str">
        <f>_xlfn.CONCAT(Table_Trailer_Restock[[#This Row],[Macro Sort]]," ",Table_Trailer_Restock[[#This Row],[Location]])</f>
        <v>T18 Perishable Items</v>
      </c>
    </row>
    <row r="205" spans="1:20" x14ac:dyDescent="0.45">
      <c r="A205">
        <v>194</v>
      </c>
      <c r="B205" t="s">
        <v>502</v>
      </c>
      <c r="F205" s="16"/>
      <c r="G205" s="16">
        <v>4</v>
      </c>
      <c r="H205" s="16">
        <v>4</v>
      </c>
      <c r="I205" t="s">
        <v>1096</v>
      </c>
      <c r="J205" t="b">
        <v>1</v>
      </c>
      <c r="K205" t="b">
        <v>1</v>
      </c>
      <c r="L205" t="b">
        <v>0</v>
      </c>
      <c r="M205" s="9"/>
      <c r="N205" t="s">
        <v>916</v>
      </c>
      <c r="Q205" t="s">
        <v>848</v>
      </c>
      <c r="R205" t="str">
        <f>_xlfn.XLOOKUP(Table_Trailer_Restock[[#This Row],[Location]],Table_Trailer_Location[[Label ]],Table_Trailer_Location[Sort Order],"",0,1)</f>
        <v>T18</v>
      </c>
      <c r="S205">
        <v>9</v>
      </c>
      <c r="T205" t="str">
        <f>_xlfn.CONCAT(Table_Trailer_Restock[[#This Row],[Macro Sort]]," ",Table_Trailer_Restock[[#This Row],[Location]])</f>
        <v>T18 Perishable Items</v>
      </c>
    </row>
    <row r="206" spans="1:20" x14ac:dyDescent="0.45">
      <c r="A206">
        <v>195</v>
      </c>
      <c r="B206" t="s">
        <v>503</v>
      </c>
      <c r="E206" t="s">
        <v>505</v>
      </c>
      <c r="F206" s="16" t="s">
        <v>506</v>
      </c>
      <c r="G206" s="16">
        <v>1</v>
      </c>
      <c r="H206" s="16"/>
      <c r="I206" t="s">
        <v>1097</v>
      </c>
      <c r="J206" t="b">
        <v>1</v>
      </c>
      <c r="K206" t="b">
        <v>1</v>
      </c>
      <c r="L206" t="b">
        <v>0</v>
      </c>
      <c r="M206" s="9"/>
      <c r="N206" t="s">
        <v>916</v>
      </c>
      <c r="Q206" t="s">
        <v>848</v>
      </c>
      <c r="R206" t="str">
        <f>_xlfn.XLOOKUP(Table_Trailer_Restock[[#This Row],[Location]],Table_Trailer_Location[[Label ]],Table_Trailer_Location[Sort Order],"",0,1)</f>
        <v>T18</v>
      </c>
      <c r="S206">
        <v>10</v>
      </c>
      <c r="T206" t="str">
        <f>_xlfn.CONCAT(Table_Trailer_Restock[[#This Row],[Macro Sort]]," ",Table_Trailer_Restock[[#This Row],[Location]])</f>
        <v>T18 Perishable Items</v>
      </c>
    </row>
    <row r="207" spans="1:20" x14ac:dyDescent="0.45">
      <c r="A207">
        <v>196</v>
      </c>
      <c r="B207" t="s">
        <v>507</v>
      </c>
      <c r="E207" t="s">
        <v>29</v>
      </c>
      <c r="F207" s="16">
        <v>602226</v>
      </c>
      <c r="G207" s="16">
        <v>1</v>
      </c>
      <c r="H207" s="16">
        <v>3</v>
      </c>
      <c r="I207" t="s">
        <v>1098</v>
      </c>
      <c r="J207" t="b">
        <v>1</v>
      </c>
      <c r="K207" t="b">
        <v>1</v>
      </c>
      <c r="L207" t="b">
        <v>0</v>
      </c>
      <c r="M207" s="9"/>
      <c r="N207" t="s">
        <v>916</v>
      </c>
      <c r="Q207" t="s">
        <v>848</v>
      </c>
      <c r="R207" t="str">
        <f>_xlfn.XLOOKUP(Table_Trailer_Restock[[#This Row],[Location]],Table_Trailer_Location[[Label ]],Table_Trailer_Location[Sort Order],"",0,1)</f>
        <v>T18</v>
      </c>
      <c r="S207">
        <v>11</v>
      </c>
      <c r="T207" t="str">
        <f>_xlfn.CONCAT(Table_Trailer_Restock[[#This Row],[Macro Sort]]," ",Table_Trailer_Restock[[#This Row],[Location]])</f>
        <v>T18 Perishable Items</v>
      </c>
    </row>
    <row r="208" spans="1:20" x14ac:dyDescent="0.45">
      <c r="A208">
        <v>197</v>
      </c>
      <c r="B208" t="s">
        <v>508</v>
      </c>
      <c r="E208" t="s">
        <v>29</v>
      </c>
      <c r="F208" s="16">
        <v>313610646</v>
      </c>
      <c r="G208" s="16">
        <v>25</v>
      </c>
      <c r="H208" s="16">
        <v>10</v>
      </c>
      <c r="I208" t="s">
        <v>1099</v>
      </c>
      <c r="J208" t="b">
        <v>1</v>
      </c>
      <c r="K208" t="b">
        <v>1</v>
      </c>
      <c r="L208" t="b">
        <v>0</v>
      </c>
      <c r="M208" s="9"/>
      <c r="N208" t="s">
        <v>916</v>
      </c>
      <c r="Q208" t="s">
        <v>848</v>
      </c>
      <c r="R208" t="str">
        <f>_xlfn.XLOOKUP(Table_Trailer_Restock[[#This Row],[Location]],Table_Trailer_Location[[Label ]],Table_Trailer_Location[Sort Order],"",0,1)</f>
        <v>T18</v>
      </c>
      <c r="S208">
        <v>12</v>
      </c>
      <c r="T208" t="str">
        <f>_xlfn.CONCAT(Table_Trailer_Restock[[#This Row],[Macro Sort]]," ",Table_Trailer_Restock[[#This Row],[Location]])</f>
        <v>T18 Perishable Items</v>
      </c>
    </row>
    <row r="209" spans="1:20" x14ac:dyDescent="0.45">
      <c r="A209">
        <v>198</v>
      </c>
      <c r="B209" t="s">
        <v>511</v>
      </c>
      <c r="E209" t="s">
        <v>505</v>
      </c>
      <c r="F209" s="16"/>
      <c r="G209" s="16">
        <v>3</v>
      </c>
      <c r="H209" s="16">
        <v>3</v>
      </c>
      <c r="I209" t="s">
        <v>1100</v>
      </c>
      <c r="J209" t="b">
        <v>1</v>
      </c>
      <c r="K209" t="b">
        <v>1</v>
      </c>
      <c r="L209" t="b">
        <v>0</v>
      </c>
      <c r="M209" s="9"/>
      <c r="N209" t="s">
        <v>916</v>
      </c>
      <c r="Q209" t="s">
        <v>848</v>
      </c>
      <c r="R209" t="str">
        <f>_xlfn.XLOOKUP(Table_Trailer_Restock[[#This Row],[Location]],Table_Trailer_Location[[Label ]],Table_Trailer_Location[Sort Order],"",0,1)</f>
        <v>T18</v>
      </c>
      <c r="S209">
        <v>13</v>
      </c>
      <c r="T209" t="str">
        <f>_xlfn.CONCAT(Table_Trailer_Restock[[#This Row],[Macro Sort]]," ",Table_Trailer_Restock[[#This Row],[Location]])</f>
        <v>T18 Perishable Items</v>
      </c>
    </row>
    <row r="210" spans="1:20" x14ac:dyDescent="0.45">
      <c r="A210">
        <v>199</v>
      </c>
      <c r="B210" t="s">
        <v>512</v>
      </c>
      <c r="E210" t="s">
        <v>29</v>
      </c>
      <c r="F210" s="16">
        <v>10222</v>
      </c>
      <c r="G210" s="16">
        <v>3</v>
      </c>
      <c r="H210" s="16">
        <v>3</v>
      </c>
      <c r="I210" t="s">
        <v>1101</v>
      </c>
      <c r="J210" t="b">
        <v>1</v>
      </c>
      <c r="K210" t="b">
        <v>1</v>
      </c>
      <c r="L210" t="b">
        <v>0</v>
      </c>
      <c r="M210" s="9"/>
      <c r="N210" t="s">
        <v>916</v>
      </c>
      <c r="Q210" t="s">
        <v>848</v>
      </c>
      <c r="R210" t="str">
        <f>_xlfn.XLOOKUP(Table_Trailer_Restock[[#This Row],[Location]],Table_Trailer_Location[[Label ]],Table_Trailer_Location[Sort Order],"",0,1)</f>
        <v>T18</v>
      </c>
      <c r="S210">
        <v>14</v>
      </c>
      <c r="T210" t="str">
        <f>_xlfn.CONCAT(Table_Trailer_Restock[[#This Row],[Macro Sort]]," ",Table_Trailer_Restock[[#This Row],[Location]])</f>
        <v>T18 Perishable Items</v>
      </c>
    </row>
    <row r="211" spans="1:20" x14ac:dyDescent="0.45">
      <c r="A211">
        <v>200</v>
      </c>
      <c r="B211" t="s">
        <v>513</v>
      </c>
      <c r="E211" t="s">
        <v>505</v>
      </c>
      <c r="F211" s="16" t="s">
        <v>514</v>
      </c>
      <c r="G211" s="16">
        <v>25</v>
      </c>
      <c r="H211" s="16">
        <v>10</v>
      </c>
      <c r="I211" t="s">
        <v>1102</v>
      </c>
      <c r="J211" t="b">
        <v>1</v>
      </c>
      <c r="K211" t="b">
        <v>1</v>
      </c>
      <c r="L211" t="b">
        <v>0</v>
      </c>
      <c r="M211" s="9"/>
      <c r="N211" t="s">
        <v>916</v>
      </c>
      <c r="Q211" t="s">
        <v>848</v>
      </c>
      <c r="R211" t="str">
        <f>_xlfn.XLOOKUP(Table_Trailer_Restock[[#This Row],[Location]],Table_Trailer_Location[[Label ]],Table_Trailer_Location[Sort Order],"",0,1)</f>
        <v>T18</v>
      </c>
      <c r="S211">
        <v>15</v>
      </c>
      <c r="T211" t="str">
        <f>_xlfn.CONCAT(Table_Trailer_Restock[[#This Row],[Macro Sort]]," ",Table_Trailer_Restock[[#This Row],[Location]])</f>
        <v>T18 Perishable Items</v>
      </c>
    </row>
    <row r="212" spans="1:20" x14ac:dyDescent="0.45">
      <c r="A212">
        <v>201</v>
      </c>
      <c r="B212" t="s">
        <v>515</v>
      </c>
      <c r="E212" t="s">
        <v>40</v>
      </c>
      <c r="F212" s="16">
        <v>60003</v>
      </c>
      <c r="G212" s="16">
        <v>3</v>
      </c>
      <c r="H212" s="16">
        <v>3</v>
      </c>
      <c r="I212" t="s">
        <v>1103</v>
      </c>
      <c r="J212" t="b">
        <v>1</v>
      </c>
      <c r="K212" t="b">
        <v>1</v>
      </c>
      <c r="L212" t="b">
        <v>0</v>
      </c>
      <c r="M212" s="9"/>
      <c r="N212" t="s">
        <v>916</v>
      </c>
      <c r="Q212" t="s">
        <v>848</v>
      </c>
      <c r="R212" t="str">
        <f>_xlfn.XLOOKUP(Table_Trailer_Restock[[#This Row],[Location]],Table_Trailer_Location[[Label ]],Table_Trailer_Location[Sort Order],"",0,1)</f>
        <v>T18</v>
      </c>
      <c r="S212">
        <v>16</v>
      </c>
      <c r="T212" t="str">
        <f>_xlfn.CONCAT(Table_Trailer_Restock[[#This Row],[Macro Sort]]," ",Table_Trailer_Restock[[#This Row],[Location]])</f>
        <v>T18 Perishable Items</v>
      </c>
    </row>
    <row r="213" spans="1:20" x14ac:dyDescent="0.45">
      <c r="A213">
        <v>202</v>
      </c>
      <c r="B213" t="s">
        <v>516</v>
      </c>
      <c r="E213" t="s">
        <v>40</v>
      </c>
      <c r="F213" s="16">
        <v>60453</v>
      </c>
      <c r="G213" s="16">
        <v>3</v>
      </c>
      <c r="H213" s="16">
        <v>3</v>
      </c>
      <c r="I213" t="s">
        <v>1104</v>
      </c>
      <c r="J213" t="b">
        <v>1</v>
      </c>
      <c r="K213" t="b">
        <v>1</v>
      </c>
      <c r="L213" t="b">
        <v>0</v>
      </c>
      <c r="M213" s="9"/>
      <c r="N213" t="s">
        <v>916</v>
      </c>
      <c r="Q213" t="s">
        <v>848</v>
      </c>
      <c r="R213" t="str">
        <f>_xlfn.XLOOKUP(Table_Trailer_Restock[[#This Row],[Location]],Table_Trailer_Location[[Label ]],Table_Trailer_Location[Sort Order],"",0,1)</f>
        <v>T18</v>
      </c>
      <c r="S213">
        <v>17</v>
      </c>
      <c r="T213" t="str">
        <f>_xlfn.CONCAT(Table_Trailer_Restock[[#This Row],[Macro Sort]]," ",Table_Trailer_Restock[[#This Row],[Location]])</f>
        <v>T18 Perishable Items</v>
      </c>
    </row>
    <row r="214" spans="1:20" x14ac:dyDescent="0.45">
      <c r="A214">
        <v>203</v>
      </c>
      <c r="B214" t="s">
        <v>517</v>
      </c>
      <c r="E214" t="s">
        <v>40</v>
      </c>
      <c r="F214" s="16">
        <v>31321</v>
      </c>
      <c r="G214" s="16">
        <v>1</v>
      </c>
      <c r="H214" s="16">
        <v>3</v>
      </c>
      <c r="I214" t="s">
        <v>1105</v>
      </c>
      <c r="J214" t="b">
        <v>1</v>
      </c>
      <c r="K214" t="b">
        <v>1</v>
      </c>
      <c r="L214" t="b">
        <v>0</v>
      </c>
      <c r="M214" s="9"/>
      <c r="N214" t="s">
        <v>916</v>
      </c>
      <c r="Q214" t="s">
        <v>848</v>
      </c>
      <c r="R214" t="str">
        <f>_xlfn.XLOOKUP(Table_Trailer_Restock[[#This Row],[Location]],Table_Trailer_Location[[Label ]],Table_Trailer_Location[Sort Order],"",0,1)</f>
        <v>T18</v>
      </c>
      <c r="S214">
        <v>18</v>
      </c>
      <c r="T214" t="str">
        <f>_xlfn.CONCAT(Table_Trailer_Restock[[#This Row],[Macro Sort]]," ",Table_Trailer_Restock[[#This Row],[Location]])</f>
        <v>T18 Perishable Items</v>
      </c>
    </row>
    <row r="215" spans="1:20" x14ac:dyDescent="0.45">
      <c r="A215">
        <v>204</v>
      </c>
      <c r="B215" t="s">
        <v>519</v>
      </c>
      <c r="E215" t="s">
        <v>101</v>
      </c>
      <c r="F215" s="16" t="s">
        <v>521</v>
      </c>
      <c r="G215" s="16">
        <v>12</v>
      </c>
      <c r="H215" s="16">
        <v>3</v>
      </c>
      <c r="I215" t="s">
        <v>1106</v>
      </c>
      <c r="J215" t="b">
        <v>1</v>
      </c>
      <c r="K215" t="b">
        <v>1</v>
      </c>
      <c r="L215" t="b">
        <v>0</v>
      </c>
      <c r="M215" s="9"/>
      <c r="N215" t="s">
        <v>916</v>
      </c>
      <c r="Q215" t="s">
        <v>848</v>
      </c>
      <c r="R215" t="str">
        <f>_xlfn.XLOOKUP(Table_Trailer_Restock[[#This Row],[Location]],Table_Trailer_Location[[Label ]],Table_Trailer_Location[Sort Order],"",0,1)</f>
        <v>T18</v>
      </c>
      <c r="S215">
        <v>19</v>
      </c>
      <c r="T215" t="str">
        <f>_xlfn.CONCAT(Table_Trailer_Restock[[#This Row],[Macro Sort]]," ",Table_Trailer_Restock[[#This Row],[Location]])</f>
        <v>T18 Perishable Items</v>
      </c>
    </row>
    <row r="216" spans="1:20" x14ac:dyDescent="0.45">
      <c r="A216">
        <v>205</v>
      </c>
      <c r="B216" t="s">
        <v>522</v>
      </c>
      <c r="E216" t="s">
        <v>40</v>
      </c>
      <c r="F216" s="16">
        <v>331760</v>
      </c>
      <c r="G216" s="16">
        <v>1</v>
      </c>
      <c r="H216" s="16">
        <v>3</v>
      </c>
      <c r="I216" t="s">
        <v>1107</v>
      </c>
      <c r="J216" t="b">
        <v>1</v>
      </c>
      <c r="K216" t="b">
        <v>1</v>
      </c>
      <c r="L216" t="b">
        <v>0</v>
      </c>
      <c r="M216" s="9"/>
      <c r="N216" t="s">
        <v>916</v>
      </c>
      <c r="Q216" t="s">
        <v>848</v>
      </c>
      <c r="R216" t="str">
        <f>_xlfn.XLOOKUP(Table_Trailer_Restock[[#This Row],[Location]],Table_Trailer_Location[[Label ]],Table_Trailer_Location[Sort Order],"",0,1)</f>
        <v>T18</v>
      </c>
      <c r="S216">
        <v>20</v>
      </c>
      <c r="T216" t="str">
        <f>_xlfn.CONCAT(Table_Trailer_Restock[[#This Row],[Macro Sort]]," ",Table_Trailer_Restock[[#This Row],[Location]])</f>
        <v>T18 Perishable Items</v>
      </c>
    </row>
    <row r="217" spans="1:20" x14ac:dyDescent="0.45">
      <c r="A217">
        <v>206</v>
      </c>
      <c r="B217" t="s">
        <v>524</v>
      </c>
      <c r="E217" t="s">
        <v>29</v>
      </c>
      <c r="F217" s="16">
        <v>99053992</v>
      </c>
      <c r="G217" s="16">
        <v>12</v>
      </c>
      <c r="H217" s="16">
        <v>6</v>
      </c>
      <c r="I217" t="s">
        <v>1108</v>
      </c>
      <c r="J217" t="b">
        <v>1</v>
      </c>
      <c r="K217" t="b">
        <v>1</v>
      </c>
      <c r="L217" t="b">
        <v>0</v>
      </c>
      <c r="M217" s="9"/>
      <c r="N217" t="s">
        <v>916</v>
      </c>
      <c r="Q217" t="s">
        <v>848</v>
      </c>
      <c r="R217" t="str">
        <f>_xlfn.XLOOKUP(Table_Trailer_Restock[[#This Row],[Location]],Table_Trailer_Location[[Label ]],Table_Trailer_Location[Sort Order],"",0,1)</f>
        <v>T18</v>
      </c>
      <c r="S217">
        <v>21</v>
      </c>
      <c r="T217" t="str">
        <f>_xlfn.CONCAT(Table_Trailer_Restock[[#This Row],[Macro Sort]]," ",Table_Trailer_Restock[[#This Row],[Location]])</f>
        <v>T18 Perishable Items</v>
      </c>
    </row>
    <row r="218" spans="1:20" x14ac:dyDescent="0.45">
      <c r="A218">
        <v>207</v>
      </c>
      <c r="B218" t="s">
        <v>526</v>
      </c>
      <c r="E218" t="s">
        <v>29</v>
      </c>
      <c r="F218" s="16">
        <v>99053938</v>
      </c>
      <c r="G218" s="16">
        <v>12</v>
      </c>
      <c r="H218" s="16">
        <v>6</v>
      </c>
      <c r="I218" t="s">
        <v>1109</v>
      </c>
      <c r="J218" t="b">
        <v>1</v>
      </c>
      <c r="K218" t="b">
        <v>1</v>
      </c>
      <c r="L218" t="b">
        <v>0</v>
      </c>
      <c r="M218" s="9"/>
      <c r="N218" t="s">
        <v>916</v>
      </c>
      <c r="Q218" t="s">
        <v>848</v>
      </c>
      <c r="R218" t="str">
        <f>_xlfn.XLOOKUP(Table_Trailer_Restock[[#This Row],[Location]],Table_Trailer_Location[[Label ]],Table_Trailer_Location[Sort Order],"",0,1)</f>
        <v>T18</v>
      </c>
      <c r="S218">
        <v>22</v>
      </c>
      <c r="T218" t="str">
        <f>_xlfn.CONCAT(Table_Trailer_Restock[[#This Row],[Macro Sort]]," ",Table_Trailer_Restock[[#This Row],[Location]])</f>
        <v>T18 Perishable Items</v>
      </c>
    </row>
    <row r="219" spans="1:20" x14ac:dyDescent="0.45">
      <c r="A219">
        <v>208</v>
      </c>
      <c r="B219" t="s">
        <v>527</v>
      </c>
      <c r="E219" t="s">
        <v>505</v>
      </c>
      <c r="F219" s="16" t="s">
        <v>530</v>
      </c>
      <c r="G219" s="16" t="s">
        <v>531</v>
      </c>
      <c r="H219" s="16"/>
      <c r="I219" t="s">
        <v>1110</v>
      </c>
      <c r="J219" t="b">
        <v>1</v>
      </c>
      <c r="K219" t="b">
        <v>1</v>
      </c>
      <c r="L219" t="b">
        <v>0</v>
      </c>
      <c r="M219" s="9"/>
      <c r="N219" t="s">
        <v>916</v>
      </c>
      <c r="Q219" t="s">
        <v>848</v>
      </c>
      <c r="R219" t="str">
        <f>_xlfn.XLOOKUP(Table_Trailer_Restock[[#This Row],[Location]],Table_Trailer_Location[[Label ]],Table_Trailer_Location[Sort Order],"",0,1)</f>
        <v>T18</v>
      </c>
      <c r="S219">
        <v>23</v>
      </c>
      <c r="T219" t="str">
        <f>_xlfn.CONCAT(Table_Trailer_Restock[[#This Row],[Macro Sort]]," ",Table_Trailer_Restock[[#This Row],[Location]])</f>
        <v>T18 Perishable Items</v>
      </c>
    </row>
    <row r="220" spans="1:20" x14ac:dyDescent="0.45">
      <c r="A220">
        <v>209</v>
      </c>
      <c r="B220" t="s">
        <v>532</v>
      </c>
      <c r="E220" t="s">
        <v>29</v>
      </c>
      <c r="F220" s="16">
        <v>1000021559</v>
      </c>
      <c r="G220" s="16" t="s">
        <v>534</v>
      </c>
      <c r="H220" s="16"/>
      <c r="I220" t="s">
        <v>1111</v>
      </c>
      <c r="J220" t="b">
        <v>1</v>
      </c>
      <c r="K220" t="b">
        <v>1</v>
      </c>
      <c r="L220" t="b">
        <v>0</v>
      </c>
      <c r="M220" s="9"/>
      <c r="N220" t="s">
        <v>916</v>
      </c>
      <c r="Q220" t="s">
        <v>848</v>
      </c>
      <c r="R220" t="str">
        <f>_xlfn.XLOOKUP(Table_Trailer_Restock[[#This Row],[Location]],Table_Trailer_Location[[Label ]],Table_Trailer_Location[Sort Order],"",0,1)</f>
        <v>T18</v>
      </c>
      <c r="S220">
        <v>24</v>
      </c>
      <c r="T220" t="str">
        <f>_xlfn.CONCAT(Table_Trailer_Restock[[#This Row],[Macro Sort]]," ",Table_Trailer_Restock[[#This Row],[Location]])</f>
        <v>T18 Perishable Items</v>
      </c>
    </row>
    <row r="221" spans="1:20" x14ac:dyDescent="0.45">
      <c r="A221">
        <v>210</v>
      </c>
      <c r="B221" t="s">
        <v>535</v>
      </c>
      <c r="E221" t="s">
        <v>29</v>
      </c>
      <c r="F221" s="16">
        <v>915147</v>
      </c>
      <c r="G221" s="16" t="s">
        <v>537</v>
      </c>
      <c r="H221" s="16" t="s">
        <v>363</v>
      </c>
      <c r="I221" t="s">
        <v>1112</v>
      </c>
      <c r="J221" t="b">
        <v>1</v>
      </c>
      <c r="K221" t="b">
        <v>1</v>
      </c>
      <c r="L221" t="b">
        <v>0</v>
      </c>
      <c r="M221" s="9"/>
      <c r="N221" t="s">
        <v>916</v>
      </c>
      <c r="Q221" t="s">
        <v>848</v>
      </c>
      <c r="R221" t="str">
        <f>_xlfn.XLOOKUP(Table_Trailer_Restock[[#This Row],[Location]],Table_Trailer_Location[[Label ]],Table_Trailer_Location[Sort Order],"",0,1)</f>
        <v>T18</v>
      </c>
      <c r="S221">
        <v>25</v>
      </c>
      <c r="T221" t="str">
        <f>_xlfn.CONCAT(Table_Trailer_Restock[[#This Row],[Macro Sort]]," ",Table_Trailer_Restock[[#This Row],[Location]])</f>
        <v>T18 Perishable Items</v>
      </c>
    </row>
    <row r="222" spans="1:20" x14ac:dyDescent="0.45">
      <c r="A222">
        <v>211</v>
      </c>
      <c r="B222" t="s">
        <v>538</v>
      </c>
      <c r="E222" t="s">
        <v>29</v>
      </c>
      <c r="F222" s="16">
        <v>700710</v>
      </c>
      <c r="G222" s="16" t="s">
        <v>534</v>
      </c>
      <c r="H222" s="16"/>
      <c r="I222" t="s">
        <v>1113</v>
      </c>
      <c r="J222" t="b">
        <v>1</v>
      </c>
      <c r="K222" t="b">
        <v>1</v>
      </c>
      <c r="L222" t="b">
        <v>0</v>
      </c>
      <c r="M222" s="9"/>
      <c r="N222" t="s">
        <v>916</v>
      </c>
      <c r="Q222" t="s">
        <v>848</v>
      </c>
      <c r="R222" t="str">
        <f>_xlfn.XLOOKUP(Table_Trailer_Restock[[#This Row],[Location]],Table_Trailer_Location[[Label ]],Table_Trailer_Location[Sort Order],"",0,1)</f>
        <v>T18</v>
      </c>
      <c r="S222">
        <v>26</v>
      </c>
      <c r="T222" t="str">
        <f>_xlfn.CONCAT(Table_Trailer_Restock[[#This Row],[Macro Sort]]," ",Table_Trailer_Restock[[#This Row],[Location]])</f>
        <v>T18 Perishable Items</v>
      </c>
    </row>
    <row r="223" spans="1:20" x14ac:dyDescent="0.45">
      <c r="A223">
        <v>212</v>
      </c>
      <c r="B223" t="s">
        <v>540</v>
      </c>
      <c r="E223" t="s">
        <v>101</v>
      </c>
      <c r="F223" s="16">
        <v>7563</v>
      </c>
      <c r="G223" s="16">
        <v>6</v>
      </c>
      <c r="H223" s="16">
        <v>6</v>
      </c>
      <c r="I223" t="s">
        <v>1114</v>
      </c>
      <c r="J223" t="b">
        <v>1</v>
      </c>
      <c r="K223" t="b">
        <v>1</v>
      </c>
      <c r="L223" t="b">
        <v>0</v>
      </c>
      <c r="M223" s="9"/>
      <c r="N223" t="s">
        <v>916</v>
      </c>
      <c r="Q223" t="s">
        <v>848</v>
      </c>
      <c r="R223" t="str">
        <f>_xlfn.XLOOKUP(Table_Trailer_Restock[[#This Row],[Location]],Table_Trailer_Location[[Label ]],Table_Trailer_Location[Sort Order],"",0,1)</f>
        <v>T18</v>
      </c>
      <c r="S223">
        <v>27</v>
      </c>
      <c r="T223" t="str">
        <f>_xlfn.CONCAT(Table_Trailer_Restock[[#This Row],[Macro Sort]]," ",Table_Trailer_Restock[[#This Row],[Location]])</f>
        <v>T18 Perishable Items</v>
      </c>
    </row>
    <row r="224" spans="1:20" x14ac:dyDescent="0.45">
      <c r="A224">
        <v>213</v>
      </c>
      <c r="B224" t="s">
        <v>542</v>
      </c>
      <c r="E224" t="s">
        <v>544</v>
      </c>
      <c r="F224" s="16" t="s">
        <v>545</v>
      </c>
      <c r="G224" s="16">
        <v>12</v>
      </c>
      <c r="H224" s="16">
        <v>6</v>
      </c>
      <c r="I224" t="s">
        <v>1115</v>
      </c>
      <c r="J224" t="b">
        <v>1</v>
      </c>
      <c r="K224" t="b">
        <v>1</v>
      </c>
      <c r="L224" t="b">
        <v>0</v>
      </c>
      <c r="M224" s="9"/>
      <c r="N224" t="s">
        <v>916</v>
      </c>
      <c r="Q224" t="s">
        <v>848</v>
      </c>
      <c r="R224" t="str">
        <f>_xlfn.XLOOKUP(Table_Trailer_Restock[[#This Row],[Location]],Table_Trailer_Location[[Label ]],Table_Trailer_Location[Sort Order],"",0,1)</f>
        <v>T18</v>
      </c>
      <c r="S224">
        <v>28</v>
      </c>
      <c r="T224" t="str">
        <f>_xlfn.CONCAT(Table_Trailer_Restock[[#This Row],[Macro Sort]]," ",Table_Trailer_Restock[[#This Row],[Location]])</f>
        <v>T18 Perishable Items</v>
      </c>
    </row>
    <row r="225" spans="1:20" x14ac:dyDescent="0.45">
      <c r="A225">
        <v>214</v>
      </c>
      <c r="B225" t="s">
        <v>546</v>
      </c>
      <c r="E225" t="s">
        <v>29</v>
      </c>
      <c r="F225" s="16">
        <v>238616</v>
      </c>
      <c r="G225" s="16">
        <v>3</v>
      </c>
      <c r="H225" s="16">
        <v>3</v>
      </c>
      <c r="I225" t="s">
        <v>1116</v>
      </c>
      <c r="J225" t="b">
        <v>1</v>
      </c>
      <c r="K225" t="b">
        <v>1</v>
      </c>
      <c r="L225" t="b">
        <v>0</v>
      </c>
      <c r="M225" s="9"/>
      <c r="N225" t="s">
        <v>916</v>
      </c>
      <c r="Q225" t="s">
        <v>848</v>
      </c>
      <c r="R225" t="str">
        <f>_xlfn.XLOOKUP(Table_Trailer_Restock[[#This Row],[Location]],Table_Trailer_Location[[Label ]],Table_Trailer_Location[Sort Order],"",0,1)</f>
        <v>T18</v>
      </c>
      <c r="S225">
        <v>29</v>
      </c>
      <c r="T225" t="str">
        <f>_xlfn.CONCAT(Table_Trailer_Restock[[#This Row],[Macro Sort]]," ",Table_Trailer_Restock[[#This Row],[Location]])</f>
        <v>T18 Perishable Items</v>
      </c>
    </row>
    <row r="226" spans="1:20" x14ac:dyDescent="0.45">
      <c r="A226">
        <v>215</v>
      </c>
      <c r="B226" t="s">
        <v>548</v>
      </c>
      <c r="E226" t="s">
        <v>101</v>
      </c>
      <c r="F226" s="16" t="s">
        <v>549</v>
      </c>
      <c r="G226" s="16">
        <v>3</v>
      </c>
      <c r="H226" s="16">
        <v>3</v>
      </c>
      <c r="I226" t="s">
        <v>1117</v>
      </c>
      <c r="J226" t="b">
        <v>1</v>
      </c>
      <c r="K226" t="b">
        <v>1</v>
      </c>
      <c r="L226" t="b">
        <v>0</v>
      </c>
      <c r="M226" s="9"/>
      <c r="N226" t="s">
        <v>916</v>
      </c>
      <c r="Q226" t="s">
        <v>848</v>
      </c>
      <c r="R226" t="str">
        <f>_xlfn.XLOOKUP(Table_Trailer_Restock[[#This Row],[Location]],Table_Trailer_Location[[Label ]],Table_Trailer_Location[Sort Order],"",0,1)</f>
        <v>T18</v>
      </c>
      <c r="S226">
        <v>30</v>
      </c>
      <c r="T226" t="str">
        <f>_xlfn.CONCAT(Table_Trailer_Restock[[#This Row],[Macro Sort]]," ",Table_Trailer_Restock[[#This Row],[Location]])</f>
        <v>T18 Perishable Items</v>
      </c>
    </row>
    <row r="227" spans="1:20" x14ac:dyDescent="0.45">
      <c r="A227">
        <v>216</v>
      </c>
      <c r="B227" t="s">
        <v>550</v>
      </c>
      <c r="E227" t="s">
        <v>40</v>
      </c>
      <c r="F227" s="16">
        <v>70885</v>
      </c>
      <c r="G227" s="16">
        <v>3</v>
      </c>
      <c r="H227" s="16">
        <v>3</v>
      </c>
      <c r="I227" t="s">
        <v>1118</v>
      </c>
      <c r="J227" t="b">
        <v>1</v>
      </c>
      <c r="K227" t="b">
        <v>1</v>
      </c>
      <c r="L227" t="b">
        <v>0</v>
      </c>
      <c r="M227" s="9"/>
      <c r="N227" t="s">
        <v>916</v>
      </c>
      <c r="Q227" t="s">
        <v>848</v>
      </c>
      <c r="R227" t="str">
        <f>_xlfn.XLOOKUP(Table_Trailer_Restock[[#This Row],[Location]],Table_Trailer_Location[[Label ]],Table_Trailer_Location[Sort Order],"",0,1)</f>
        <v>T18</v>
      </c>
      <c r="S227">
        <v>31</v>
      </c>
      <c r="T227" t="str">
        <f>_xlfn.CONCAT(Table_Trailer_Restock[[#This Row],[Macro Sort]]," ",Table_Trailer_Restock[[#This Row],[Location]])</f>
        <v>T18 Perishable Items</v>
      </c>
    </row>
    <row r="228" spans="1:20" x14ac:dyDescent="0.45">
      <c r="A228">
        <v>217</v>
      </c>
      <c r="B228" t="s">
        <v>551</v>
      </c>
      <c r="E228" t="s">
        <v>40</v>
      </c>
      <c r="F228" s="16">
        <v>70886</v>
      </c>
      <c r="G228" s="16">
        <v>3</v>
      </c>
      <c r="H228" s="16">
        <v>3</v>
      </c>
      <c r="I228" t="s">
        <v>1119</v>
      </c>
      <c r="J228" t="b">
        <v>1</v>
      </c>
      <c r="K228" t="b">
        <v>1</v>
      </c>
      <c r="L228" t="b">
        <v>0</v>
      </c>
      <c r="M228" s="9"/>
      <c r="N228" t="s">
        <v>916</v>
      </c>
      <c r="Q228" t="s">
        <v>848</v>
      </c>
      <c r="R228" t="str">
        <f>_xlfn.XLOOKUP(Table_Trailer_Restock[[#This Row],[Location]],Table_Trailer_Location[[Label ]],Table_Trailer_Location[Sort Order],"",0,1)</f>
        <v>T18</v>
      </c>
      <c r="S228">
        <v>32</v>
      </c>
      <c r="T228" t="str">
        <f>_xlfn.CONCAT(Table_Trailer_Restock[[#This Row],[Macro Sort]]," ",Table_Trailer_Restock[[#This Row],[Location]])</f>
        <v>T18 Perishable Items</v>
      </c>
    </row>
    <row r="229" spans="1:20" x14ac:dyDescent="0.45">
      <c r="A229">
        <v>218</v>
      </c>
      <c r="B229" t="s">
        <v>552</v>
      </c>
      <c r="E229" t="s">
        <v>40</v>
      </c>
      <c r="F229" s="16">
        <v>15620</v>
      </c>
      <c r="G229" s="16">
        <v>1</v>
      </c>
      <c r="H229" s="16">
        <v>3</v>
      </c>
      <c r="I229" t="s">
        <v>1120</v>
      </c>
      <c r="J229" t="b">
        <v>1</v>
      </c>
      <c r="K229" t="b">
        <v>1</v>
      </c>
      <c r="L229" t="b">
        <v>0</v>
      </c>
      <c r="M229" s="9"/>
      <c r="N229" t="s">
        <v>916</v>
      </c>
      <c r="Q229" t="s">
        <v>848</v>
      </c>
      <c r="R229" t="str">
        <f>_xlfn.XLOOKUP(Table_Trailer_Restock[[#This Row],[Location]],Table_Trailer_Location[[Label ]],Table_Trailer_Location[Sort Order],"",0,1)</f>
        <v>T18</v>
      </c>
      <c r="S229">
        <v>33</v>
      </c>
      <c r="T229" t="str">
        <f>_xlfn.CONCAT(Table_Trailer_Restock[[#This Row],[Macro Sort]]," ",Table_Trailer_Restock[[#This Row],[Location]])</f>
        <v>T18 Perishable Items</v>
      </c>
    </row>
    <row r="230" spans="1:20" x14ac:dyDescent="0.45">
      <c r="A230">
        <v>219</v>
      </c>
      <c r="B230" t="s">
        <v>553</v>
      </c>
      <c r="E230" t="s">
        <v>29</v>
      </c>
      <c r="F230" s="16">
        <v>100212441</v>
      </c>
      <c r="G230" s="16">
        <v>1</v>
      </c>
      <c r="H230" s="16">
        <v>3</v>
      </c>
      <c r="I230" t="s">
        <v>1121</v>
      </c>
      <c r="J230" t="b">
        <v>1</v>
      </c>
      <c r="K230" t="b">
        <v>1</v>
      </c>
      <c r="L230" t="b">
        <v>0</v>
      </c>
      <c r="M230" s="9"/>
      <c r="N230" t="s">
        <v>916</v>
      </c>
      <c r="Q230" t="s">
        <v>848</v>
      </c>
      <c r="R230" t="str">
        <f>_xlfn.XLOOKUP(Table_Trailer_Restock[[#This Row],[Location]],Table_Trailer_Location[[Label ]],Table_Trailer_Location[Sort Order],"",0,1)</f>
        <v>T18</v>
      </c>
      <c r="S230">
        <v>34</v>
      </c>
      <c r="T230" t="str">
        <f>_xlfn.CONCAT(Table_Trailer_Restock[[#This Row],[Macro Sort]]," ",Table_Trailer_Restock[[#This Row],[Location]])</f>
        <v>T18 Perishable Items</v>
      </c>
    </row>
    <row r="231" spans="1:20" x14ac:dyDescent="0.45">
      <c r="A231">
        <v>220</v>
      </c>
      <c r="B231" t="s">
        <v>554</v>
      </c>
      <c r="E231" t="s">
        <v>29</v>
      </c>
      <c r="F231" s="16">
        <v>172187</v>
      </c>
      <c r="G231" s="16">
        <v>2</v>
      </c>
      <c r="H231" s="16">
        <v>1</v>
      </c>
      <c r="I231" t="s">
        <v>1122</v>
      </c>
      <c r="J231" t="b">
        <v>1</v>
      </c>
      <c r="K231" t="b">
        <v>1</v>
      </c>
      <c r="L231" t="b">
        <v>0</v>
      </c>
      <c r="M231" s="9"/>
      <c r="N231" t="s">
        <v>916</v>
      </c>
      <c r="Q231" t="s">
        <v>848</v>
      </c>
      <c r="R231" t="str">
        <f>_xlfn.XLOOKUP(Table_Trailer_Restock[[#This Row],[Location]],Table_Trailer_Location[[Label ]],Table_Trailer_Location[Sort Order],"",0,1)</f>
        <v>T18</v>
      </c>
      <c r="S231">
        <v>35</v>
      </c>
      <c r="T231" t="str">
        <f>_xlfn.CONCAT(Table_Trailer_Restock[[#This Row],[Macro Sort]]," ",Table_Trailer_Restock[[#This Row],[Location]])</f>
        <v>T18 Perishable Items</v>
      </c>
    </row>
    <row r="232" spans="1:20" x14ac:dyDescent="0.45">
      <c r="A232">
        <v>221</v>
      </c>
      <c r="B232" t="s">
        <v>555</v>
      </c>
      <c r="E232" t="s">
        <v>40</v>
      </c>
      <c r="F232" s="16" t="s">
        <v>556</v>
      </c>
      <c r="G232" s="16">
        <v>1</v>
      </c>
      <c r="H232" s="16"/>
      <c r="I232" t="s">
        <v>1123</v>
      </c>
      <c r="J232" t="b">
        <v>1</v>
      </c>
      <c r="K232" t="b">
        <v>1</v>
      </c>
      <c r="L232" t="b">
        <v>0</v>
      </c>
      <c r="M232" s="9"/>
      <c r="N232" t="s">
        <v>916</v>
      </c>
      <c r="Q232" t="s">
        <v>848</v>
      </c>
      <c r="R232" t="str">
        <f>_xlfn.XLOOKUP(Table_Trailer_Restock[[#This Row],[Location]],Table_Trailer_Location[[Label ]],Table_Trailer_Location[Sort Order],"",0,1)</f>
        <v>T18</v>
      </c>
      <c r="S232">
        <v>36</v>
      </c>
      <c r="T232" t="str">
        <f>_xlfn.CONCAT(Table_Trailer_Restock[[#This Row],[Macro Sort]]," ",Table_Trailer_Restock[[#This Row],[Location]])</f>
        <v>T18 Perishable Items</v>
      </c>
    </row>
    <row r="233" spans="1:20" x14ac:dyDescent="0.45">
      <c r="A233">
        <v>222</v>
      </c>
      <c r="B233" t="s">
        <v>557</v>
      </c>
      <c r="E233" t="s">
        <v>40</v>
      </c>
      <c r="F233" s="16" t="s">
        <v>558</v>
      </c>
      <c r="G233" s="16">
        <v>1</v>
      </c>
      <c r="H233" s="16"/>
      <c r="I233" t="s">
        <v>1124</v>
      </c>
      <c r="J233" t="b">
        <v>1</v>
      </c>
      <c r="K233" t="b">
        <v>1</v>
      </c>
      <c r="L233" t="b">
        <v>0</v>
      </c>
      <c r="M233" s="9"/>
      <c r="N233" t="s">
        <v>916</v>
      </c>
      <c r="Q233" t="s">
        <v>848</v>
      </c>
      <c r="R233" t="str">
        <f>_xlfn.XLOOKUP(Table_Trailer_Restock[[#This Row],[Location]],Table_Trailer_Location[[Label ]],Table_Trailer_Location[Sort Order],"",0,1)</f>
        <v>T18</v>
      </c>
      <c r="S233">
        <v>37</v>
      </c>
      <c r="T233" t="str">
        <f>_xlfn.CONCAT(Table_Trailer_Restock[[#This Row],[Macro Sort]]," ",Table_Trailer_Restock[[#This Row],[Location]])</f>
        <v>T18 Perishable Items</v>
      </c>
    </row>
    <row r="234" spans="1:20" x14ac:dyDescent="0.45">
      <c r="A234">
        <v>223</v>
      </c>
      <c r="B234" t="s">
        <v>559</v>
      </c>
      <c r="E234" t="s">
        <v>40</v>
      </c>
      <c r="F234" s="16" t="s">
        <v>560</v>
      </c>
      <c r="G234" s="16">
        <v>1</v>
      </c>
      <c r="H234" s="16"/>
      <c r="I234" t="s">
        <v>1125</v>
      </c>
      <c r="J234" t="b">
        <v>1</v>
      </c>
      <c r="K234" t="b">
        <v>1</v>
      </c>
      <c r="L234" t="b">
        <v>0</v>
      </c>
      <c r="M234" s="9"/>
      <c r="N234" t="s">
        <v>916</v>
      </c>
      <c r="Q234" t="s">
        <v>848</v>
      </c>
      <c r="R234" t="str">
        <f>_xlfn.XLOOKUP(Table_Trailer_Restock[[#This Row],[Location]],Table_Trailer_Location[[Label ]],Table_Trailer_Location[Sort Order],"",0,1)</f>
        <v>T18</v>
      </c>
      <c r="S234">
        <v>38</v>
      </c>
      <c r="T234" t="str">
        <f>_xlfn.CONCAT(Table_Trailer_Restock[[#This Row],[Macro Sort]]," ",Table_Trailer_Restock[[#This Row],[Location]])</f>
        <v>T18 Perishable Items</v>
      </c>
    </row>
    <row r="235" spans="1:20" x14ac:dyDescent="0.45">
      <c r="A235">
        <v>224</v>
      </c>
      <c r="B235" t="s">
        <v>561</v>
      </c>
      <c r="E235" t="s">
        <v>40</v>
      </c>
      <c r="F235" s="16" t="s">
        <v>562</v>
      </c>
      <c r="G235" s="16">
        <v>1</v>
      </c>
      <c r="H235" s="16"/>
      <c r="I235" t="s">
        <v>1126</v>
      </c>
      <c r="J235" t="b">
        <v>1</v>
      </c>
      <c r="K235" t="b">
        <v>1</v>
      </c>
      <c r="L235" t="b">
        <v>0</v>
      </c>
      <c r="M235" s="9"/>
      <c r="N235" t="s">
        <v>916</v>
      </c>
      <c r="Q235" t="s">
        <v>848</v>
      </c>
      <c r="R235" t="str">
        <f>_xlfn.XLOOKUP(Table_Trailer_Restock[[#This Row],[Location]],Table_Trailer_Location[[Label ]],Table_Trailer_Location[Sort Order],"",0,1)</f>
        <v>T18</v>
      </c>
      <c r="S235">
        <v>39</v>
      </c>
      <c r="T235" t="str">
        <f>_xlfn.CONCAT(Table_Trailer_Restock[[#This Row],[Macro Sort]]," ",Table_Trailer_Restock[[#This Row],[Location]])</f>
        <v>T18 Perishable Items</v>
      </c>
    </row>
    <row r="236" spans="1:20" x14ac:dyDescent="0.45">
      <c r="A236">
        <v>225</v>
      </c>
      <c r="B236" t="s">
        <v>563</v>
      </c>
      <c r="E236" t="s">
        <v>40</v>
      </c>
      <c r="F236" s="16" t="s">
        <v>564</v>
      </c>
      <c r="G236" s="16">
        <v>1</v>
      </c>
      <c r="H236" s="16"/>
      <c r="I236" t="s">
        <v>1127</v>
      </c>
      <c r="J236" t="b">
        <v>1</v>
      </c>
      <c r="K236" t="b">
        <v>1</v>
      </c>
      <c r="L236" t="b">
        <v>0</v>
      </c>
      <c r="M236" s="9"/>
      <c r="N236" t="s">
        <v>916</v>
      </c>
      <c r="O236">
        <v>1</v>
      </c>
      <c r="P236">
        <v>1</v>
      </c>
      <c r="Q236" t="s">
        <v>848</v>
      </c>
      <c r="R236" t="str">
        <f>_xlfn.XLOOKUP(Table_Trailer_Restock[[#This Row],[Location]],Table_Trailer_Location[[Label ]],Table_Trailer_Location[Sort Order],"",0,1)</f>
        <v>T18</v>
      </c>
      <c r="S236">
        <v>40</v>
      </c>
      <c r="T236" t="str">
        <f>_xlfn.CONCAT(Table_Trailer_Restock[[#This Row],[Macro Sort]]," ",Table_Trailer_Restock[[#This Row],[Location]])</f>
        <v>T18 Perishable Items</v>
      </c>
    </row>
    <row r="237" spans="1:20" x14ac:dyDescent="0.45">
      <c r="A237">
        <v>226</v>
      </c>
      <c r="B237" t="s">
        <v>565</v>
      </c>
      <c r="E237" t="s">
        <v>29</v>
      </c>
      <c r="F237" s="16" t="s">
        <v>567</v>
      </c>
      <c r="G237" s="16">
        <v>1</v>
      </c>
      <c r="H237" s="16"/>
      <c r="I237" t="s">
        <v>1128</v>
      </c>
      <c r="J237" t="b">
        <v>1</v>
      </c>
      <c r="K237" t="b">
        <v>1</v>
      </c>
      <c r="L237" t="b">
        <v>0</v>
      </c>
      <c r="M237" s="9"/>
      <c r="N237" t="s">
        <v>916</v>
      </c>
      <c r="Q237" t="s">
        <v>848</v>
      </c>
      <c r="R237" t="str">
        <f>_xlfn.XLOOKUP(Table_Trailer_Restock[[#This Row],[Location]],Table_Trailer_Location[[Label ]],Table_Trailer_Location[Sort Order],"",0,1)</f>
        <v>T18</v>
      </c>
      <c r="S237">
        <v>41</v>
      </c>
      <c r="T237" t="str">
        <f>_xlfn.CONCAT(Table_Trailer_Restock[[#This Row],[Macro Sort]]," ",Table_Trailer_Restock[[#This Row],[Location]])</f>
        <v>T18 Perishable Items</v>
      </c>
    </row>
    <row r="238" spans="1:20" x14ac:dyDescent="0.45">
      <c r="A238">
        <v>227</v>
      </c>
      <c r="B238" t="s">
        <v>568</v>
      </c>
      <c r="E238" t="s">
        <v>101</v>
      </c>
      <c r="F238" s="16">
        <v>258</v>
      </c>
      <c r="G238" s="16" t="s">
        <v>128</v>
      </c>
      <c r="H238" s="16" t="s">
        <v>128</v>
      </c>
      <c r="I238" t="s">
        <v>1129</v>
      </c>
      <c r="J238" t="b">
        <v>1</v>
      </c>
      <c r="K238" t="b">
        <v>1</v>
      </c>
      <c r="L238" t="b">
        <v>0</v>
      </c>
      <c r="M238" s="9"/>
      <c r="N238" t="s">
        <v>919</v>
      </c>
      <c r="Q238" t="s">
        <v>848</v>
      </c>
      <c r="R238" t="str">
        <f>_xlfn.XLOOKUP(Table_Trailer_Restock[[#This Row],[Location]],Table_Trailer_Location[[Label ]],Table_Trailer_Location[Sort Order],"",0,1)</f>
        <v>T15</v>
      </c>
      <c r="S238">
        <v>1</v>
      </c>
      <c r="T238" t="str">
        <f>_xlfn.CONCAT(Table_Trailer_Restock[[#This Row],[Macro Sort]]," ",Table_Trailer_Restock[[#This Row],[Location]])</f>
        <v>T15 Piping</v>
      </c>
    </row>
    <row r="239" spans="1:20" x14ac:dyDescent="0.45">
      <c r="A239">
        <v>228</v>
      </c>
      <c r="B239" t="s">
        <v>572</v>
      </c>
      <c r="E239" t="s">
        <v>40</v>
      </c>
      <c r="F239" s="16" t="s">
        <v>575</v>
      </c>
      <c r="G239" s="16" t="s">
        <v>284</v>
      </c>
      <c r="H239" s="16" t="s">
        <v>284</v>
      </c>
      <c r="I239" t="s">
        <v>1130</v>
      </c>
      <c r="J239" t="b">
        <v>1</v>
      </c>
      <c r="K239" t="b">
        <v>1</v>
      </c>
      <c r="L239" t="b">
        <v>0</v>
      </c>
      <c r="M239" s="9"/>
      <c r="N239" t="s">
        <v>919</v>
      </c>
      <c r="Q239" t="s">
        <v>848</v>
      </c>
      <c r="R239" t="str">
        <f>_xlfn.XLOOKUP(Table_Trailer_Restock[[#This Row],[Location]],Table_Trailer_Location[[Label ]],Table_Trailer_Location[Sort Order],"",0,1)</f>
        <v>T15</v>
      </c>
      <c r="S239">
        <v>2</v>
      </c>
      <c r="T239" t="str">
        <f>_xlfn.CONCAT(Table_Trailer_Restock[[#This Row],[Macro Sort]]," ",Table_Trailer_Restock[[#This Row],[Location]])</f>
        <v>T15 Piping</v>
      </c>
    </row>
    <row r="240" spans="1:20" x14ac:dyDescent="0.45">
      <c r="A240">
        <v>229</v>
      </c>
      <c r="B240" t="s">
        <v>576</v>
      </c>
      <c r="E240" t="s">
        <v>40</v>
      </c>
      <c r="F240" s="16" t="s">
        <v>578</v>
      </c>
      <c r="G240" s="16" t="s">
        <v>284</v>
      </c>
      <c r="H240" s="16" t="s">
        <v>284</v>
      </c>
      <c r="I240" t="s">
        <v>1131</v>
      </c>
      <c r="J240" t="b">
        <v>1</v>
      </c>
      <c r="K240" t="b">
        <v>1</v>
      </c>
      <c r="L240" t="b">
        <v>0</v>
      </c>
      <c r="M240" s="9"/>
      <c r="N240" t="s">
        <v>919</v>
      </c>
      <c r="Q240" t="s">
        <v>848</v>
      </c>
      <c r="R240" t="str">
        <f>_xlfn.XLOOKUP(Table_Trailer_Restock[[#This Row],[Location]],Table_Trailer_Location[[Label ]],Table_Trailer_Location[Sort Order],"",0,1)</f>
        <v>T15</v>
      </c>
      <c r="S240">
        <v>3</v>
      </c>
      <c r="T240" t="str">
        <f>_xlfn.CONCAT(Table_Trailer_Restock[[#This Row],[Macro Sort]]," ",Table_Trailer_Restock[[#This Row],[Location]])</f>
        <v>T15 Piping</v>
      </c>
    </row>
    <row r="241" spans="1:20" x14ac:dyDescent="0.45">
      <c r="A241">
        <v>230</v>
      </c>
      <c r="B241" t="s">
        <v>579</v>
      </c>
      <c r="E241" t="s">
        <v>494</v>
      </c>
      <c r="F241" s="16"/>
      <c r="G241" s="16">
        <v>8</v>
      </c>
      <c r="H241" s="16">
        <v>4</v>
      </c>
      <c r="I241" t="s">
        <v>1132</v>
      </c>
      <c r="J241" t="b">
        <v>1</v>
      </c>
      <c r="K241" t="b">
        <v>1</v>
      </c>
      <c r="L241" t="b">
        <v>0</v>
      </c>
      <c r="M241" s="9"/>
      <c r="N241" t="s">
        <v>919</v>
      </c>
      <c r="Q241" t="s">
        <v>848</v>
      </c>
      <c r="R241" t="str">
        <f>_xlfn.XLOOKUP(Table_Trailer_Restock[[#This Row],[Location]],Table_Trailer_Location[[Label ]],Table_Trailer_Location[Sort Order],"",0,1)</f>
        <v>T15</v>
      </c>
      <c r="S241">
        <v>4</v>
      </c>
      <c r="T241" t="str">
        <f>_xlfn.CONCAT(Table_Trailer_Restock[[#This Row],[Macro Sort]]," ",Table_Trailer_Restock[[#This Row],[Location]])</f>
        <v>T15 Piping</v>
      </c>
    </row>
    <row r="242" spans="1:20" x14ac:dyDescent="0.45">
      <c r="A242">
        <v>231</v>
      </c>
      <c r="B242" t="s">
        <v>581</v>
      </c>
      <c r="E242" t="s">
        <v>494</v>
      </c>
      <c r="F242" s="16"/>
      <c r="G242" s="16">
        <v>20</v>
      </c>
      <c r="H242" s="16">
        <v>10</v>
      </c>
      <c r="I242" t="s">
        <v>1133</v>
      </c>
      <c r="J242" t="b">
        <v>1</v>
      </c>
      <c r="K242" t="b">
        <v>1</v>
      </c>
      <c r="L242" t="b">
        <v>0</v>
      </c>
      <c r="M242" s="9"/>
      <c r="N242" t="s">
        <v>919</v>
      </c>
      <c r="Q242" t="s">
        <v>848</v>
      </c>
      <c r="R242" t="str">
        <f>_xlfn.XLOOKUP(Table_Trailer_Restock[[#This Row],[Location]],Table_Trailer_Location[[Label ]],Table_Trailer_Location[Sort Order],"",0,1)</f>
        <v>T15</v>
      </c>
      <c r="S242">
        <v>5</v>
      </c>
      <c r="T242" t="str">
        <f>_xlfn.CONCAT(Table_Trailer_Restock[[#This Row],[Macro Sort]]," ",Table_Trailer_Restock[[#This Row],[Location]])</f>
        <v>T15 Piping</v>
      </c>
    </row>
    <row r="243" spans="1:20" x14ac:dyDescent="0.45">
      <c r="A243">
        <v>232</v>
      </c>
      <c r="B243" t="s">
        <v>583</v>
      </c>
      <c r="E243" t="s">
        <v>494</v>
      </c>
      <c r="F243" s="16"/>
      <c r="G243" s="16">
        <v>20</v>
      </c>
      <c r="H243" s="16">
        <v>10</v>
      </c>
      <c r="I243" t="s">
        <v>1134</v>
      </c>
      <c r="J243" t="b">
        <v>1</v>
      </c>
      <c r="K243" t="b">
        <v>1</v>
      </c>
      <c r="L243" t="b">
        <v>0</v>
      </c>
      <c r="M243" s="9"/>
      <c r="N243" t="s">
        <v>919</v>
      </c>
      <c r="Q243" t="s">
        <v>848</v>
      </c>
      <c r="R243" t="str">
        <f>_xlfn.XLOOKUP(Table_Trailer_Restock[[#This Row],[Location]],Table_Trailer_Location[[Label ]],Table_Trailer_Location[Sort Order],"",0,1)</f>
        <v>T15</v>
      </c>
      <c r="S243">
        <v>6</v>
      </c>
      <c r="T243" t="str">
        <f>_xlfn.CONCAT(Table_Trailer_Restock[[#This Row],[Macro Sort]]," ",Table_Trailer_Restock[[#This Row],[Location]])</f>
        <v>T15 Piping</v>
      </c>
    </row>
    <row r="244" spans="1:20" x14ac:dyDescent="0.45">
      <c r="A244">
        <v>233</v>
      </c>
      <c r="B244" t="s">
        <v>585</v>
      </c>
      <c r="E244" t="s">
        <v>391</v>
      </c>
      <c r="F244" s="16" t="s">
        <v>587</v>
      </c>
      <c r="G244" s="16">
        <v>40</v>
      </c>
      <c r="H244" s="16">
        <v>40</v>
      </c>
      <c r="I244" t="s">
        <v>1135</v>
      </c>
      <c r="J244" t="b">
        <v>1</v>
      </c>
      <c r="K244" t="b">
        <v>1</v>
      </c>
      <c r="L244" t="b">
        <v>0</v>
      </c>
      <c r="M244" s="9"/>
      <c r="N244" t="s">
        <v>919</v>
      </c>
      <c r="Q244" t="s">
        <v>848</v>
      </c>
      <c r="R244" t="str">
        <f>_xlfn.XLOOKUP(Table_Trailer_Restock[[#This Row],[Location]],Table_Trailer_Location[[Label ]],Table_Trailer_Location[Sort Order],"",0,1)</f>
        <v>T15</v>
      </c>
      <c r="S244">
        <v>7</v>
      </c>
      <c r="T244" t="str">
        <f>_xlfn.CONCAT(Table_Trailer_Restock[[#This Row],[Macro Sort]]," ",Table_Trailer_Restock[[#This Row],[Location]])</f>
        <v>T15 Piping</v>
      </c>
    </row>
    <row r="245" spans="1:20" x14ac:dyDescent="0.45">
      <c r="A245">
        <v>234</v>
      </c>
      <c r="B245" t="s">
        <v>588</v>
      </c>
      <c r="E245" t="s">
        <v>391</v>
      </c>
      <c r="F245" s="16" t="s">
        <v>590</v>
      </c>
      <c r="G245" s="16">
        <v>20</v>
      </c>
      <c r="H245" s="16">
        <v>20</v>
      </c>
      <c r="I245" t="s">
        <v>1136</v>
      </c>
      <c r="J245" t="b">
        <v>1</v>
      </c>
      <c r="K245" t="b">
        <v>1</v>
      </c>
      <c r="L245" t="b">
        <v>0</v>
      </c>
      <c r="M245" s="9"/>
      <c r="N245" t="s">
        <v>919</v>
      </c>
      <c r="O245">
        <v>7</v>
      </c>
      <c r="P245">
        <v>5</v>
      </c>
      <c r="Q245" t="s">
        <v>848</v>
      </c>
      <c r="R245" t="str">
        <f>_xlfn.XLOOKUP(Table_Trailer_Restock[[#This Row],[Location]],Table_Trailer_Location[[Label ]],Table_Trailer_Location[Sort Order],"",0,1)</f>
        <v>T15</v>
      </c>
      <c r="S245">
        <v>8</v>
      </c>
      <c r="T245" t="str">
        <f>_xlfn.CONCAT(Table_Trailer_Restock[[#This Row],[Macro Sort]]," ",Table_Trailer_Restock[[#This Row],[Location]])</f>
        <v>T15 Piping</v>
      </c>
    </row>
    <row r="246" spans="1:20" x14ac:dyDescent="0.45">
      <c r="A246">
        <v>235</v>
      </c>
      <c r="B246" t="s">
        <v>591</v>
      </c>
      <c r="E246" t="s">
        <v>494</v>
      </c>
      <c r="F246" s="16"/>
      <c r="G246" s="16">
        <v>6</v>
      </c>
      <c r="H246" s="16">
        <v>2</v>
      </c>
      <c r="I246" t="s">
        <v>1137</v>
      </c>
      <c r="J246" t="b">
        <v>1</v>
      </c>
      <c r="K246" t="b">
        <v>1</v>
      </c>
      <c r="L246" t="b">
        <v>0</v>
      </c>
      <c r="M246" s="9"/>
      <c r="N246" t="s">
        <v>919</v>
      </c>
      <c r="Q246" t="s">
        <v>848</v>
      </c>
      <c r="R246" t="str">
        <f>_xlfn.XLOOKUP(Table_Trailer_Restock[[#This Row],[Location]],Table_Trailer_Location[[Label ]],Table_Trailer_Location[Sort Order],"",0,1)</f>
        <v>T15</v>
      </c>
      <c r="S246">
        <v>9</v>
      </c>
      <c r="T246" t="str">
        <f>_xlfn.CONCAT(Table_Trailer_Restock[[#This Row],[Macro Sort]]," ",Table_Trailer_Restock[[#This Row],[Location]])</f>
        <v>T15 Piping</v>
      </c>
    </row>
    <row r="247" spans="1:20" x14ac:dyDescent="0.45">
      <c r="A247">
        <v>236</v>
      </c>
      <c r="B247" t="s">
        <v>593</v>
      </c>
      <c r="E247" t="s">
        <v>596</v>
      </c>
      <c r="F247" s="16"/>
      <c r="G247" s="16">
        <v>1</v>
      </c>
      <c r="H247" s="16"/>
      <c r="I247" t="s">
        <v>1138</v>
      </c>
      <c r="J247" t="b">
        <v>1</v>
      </c>
      <c r="K247" t="b">
        <v>1</v>
      </c>
      <c r="L247" t="b">
        <v>0</v>
      </c>
      <c r="M247" s="9"/>
      <c r="N247" t="s">
        <v>594</v>
      </c>
      <c r="Q247" t="s">
        <v>848</v>
      </c>
      <c r="R247" t="str">
        <f>_xlfn.XLOOKUP(Table_Trailer_Restock[[#This Row],[Location]],Table_Trailer_Location[[Label ]],Table_Trailer_Location[Sort Order],"",0,1)</f>
        <v>T16</v>
      </c>
      <c r="S247">
        <v>1</v>
      </c>
      <c r="T247" t="str">
        <f>_xlfn.CONCAT(Table_Trailer_Restock[[#This Row],[Macro Sort]]," ",Table_Trailer_Restock[[#This Row],[Location]])</f>
        <v>T16 Safety Gear</v>
      </c>
    </row>
    <row r="248" spans="1:20" x14ac:dyDescent="0.45">
      <c r="A248">
        <v>237</v>
      </c>
      <c r="B248" t="s">
        <v>597</v>
      </c>
      <c r="E248" t="s">
        <v>596</v>
      </c>
      <c r="F248" s="16"/>
      <c r="G248" s="16">
        <v>1</v>
      </c>
      <c r="H248" s="16"/>
      <c r="I248" t="s">
        <v>1139</v>
      </c>
      <c r="J248" t="b">
        <v>1</v>
      </c>
      <c r="K248" t="b">
        <v>1</v>
      </c>
      <c r="L248" t="b">
        <v>0</v>
      </c>
      <c r="M248" s="9"/>
      <c r="N248" t="s">
        <v>594</v>
      </c>
      <c r="Q248" t="s">
        <v>848</v>
      </c>
      <c r="R248" t="str">
        <f>_xlfn.XLOOKUP(Table_Trailer_Restock[[#This Row],[Location]],Table_Trailer_Location[[Label ]],Table_Trailer_Location[Sort Order],"",0,1)</f>
        <v>T16</v>
      </c>
      <c r="S248">
        <v>2</v>
      </c>
      <c r="T248" t="str">
        <f>_xlfn.CONCAT(Table_Trailer_Restock[[#This Row],[Macro Sort]]," ",Table_Trailer_Restock[[#This Row],[Location]])</f>
        <v>T16 Safety Gear</v>
      </c>
    </row>
    <row r="249" spans="1:20" x14ac:dyDescent="0.45">
      <c r="A249">
        <v>238</v>
      </c>
      <c r="B249" t="s">
        <v>598</v>
      </c>
      <c r="E249" t="s">
        <v>596</v>
      </c>
      <c r="F249" s="16"/>
      <c r="G249" s="16">
        <v>3</v>
      </c>
      <c r="H249" s="16">
        <v>3</v>
      </c>
      <c r="I249" t="s">
        <v>1140</v>
      </c>
      <c r="J249" t="b">
        <v>1</v>
      </c>
      <c r="K249" t="b">
        <v>1</v>
      </c>
      <c r="L249" t="b">
        <v>0</v>
      </c>
      <c r="M249" s="9"/>
      <c r="N249" t="s">
        <v>594</v>
      </c>
      <c r="Q249" t="s">
        <v>848</v>
      </c>
      <c r="R249" t="str">
        <f>_xlfn.XLOOKUP(Table_Trailer_Restock[[#This Row],[Location]],Table_Trailer_Location[[Label ]],Table_Trailer_Location[Sort Order],"",0,1)</f>
        <v>T16</v>
      </c>
      <c r="S249">
        <v>3</v>
      </c>
      <c r="T249" t="str">
        <f>_xlfn.CONCAT(Table_Trailer_Restock[[#This Row],[Macro Sort]]," ",Table_Trailer_Restock[[#This Row],[Location]])</f>
        <v>T16 Safety Gear</v>
      </c>
    </row>
    <row r="250" spans="1:20" x14ac:dyDescent="0.45">
      <c r="A250">
        <v>239</v>
      </c>
      <c r="B250" t="s">
        <v>599</v>
      </c>
      <c r="E250" t="s">
        <v>29</v>
      </c>
      <c r="F250" s="16">
        <v>779164</v>
      </c>
      <c r="G250" s="16">
        <v>1</v>
      </c>
      <c r="H250" s="16"/>
      <c r="I250" t="s">
        <v>1141</v>
      </c>
      <c r="J250" t="b">
        <v>1</v>
      </c>
      <c r="K250" t="b">
        <v>1</v>
      </c>
      <c r="L250" t="b">
        <v>0</v>
      </c>
      <c r="M250" s="9"/>
      <c r="N250" t="s">
        <v>594</v>
      </c>
      <c r="Q250" t="s">
        <v>848</v>
      </c>
      <c r="R250" t="str">
        <f>_xlfn.XLOOKUP(Table_Trailer_Restock[[#This Row],[Location]],Table_Trailer_Location[[Label ]],Table_Trailer_Location[Sort Order],"",0,1)</f>
        <v>T16</v>
      </c>
      <c r="S250">
        <v>4</v>
      </c>
      <c r="T250" t="str">
        <f>_xlfn.CONCAT(Table_Trailer_Restock[[#This Row],[Macro Sort]]," ",Table_Trailer_Restock[[#This Row],[Location]])</f>
        <v>T16 Safety Gear</v>
      </c>
    </row>
    <row r="251" spans="1:20" x14ac:dyDescent="0.45">
      <c r="A251">
        <v>240</v>
      </c>
      <c r="B251" t="s">
        <v>601</v>
      </c>
      <c r="E251" t="s">
        <v>29</v>
      </c>
      <c r="F251" s="16">
        <v>315303672</v>
      </c>
      <c r="G251" s="16">
        <v>10</v>
      </c>
      <c r="H251" s="16">
        <v>6</v>
      </c>
      <c r="I251" t="s">
        <v>1142</v>
      </c>
      <c r="J251" t="b">
        <v>1</v>
      </c>
      <c r="K251" t="b">
        <v>1</v>
      </c>
      <c r="L251" t="b">
        <v>0</v>
      </c>
      <c r="M251" s="9"/>
      <c r="N251" t="s">
        <v>594</v>
      </c>
      <c r="Q251" t="s">
        <v>848</v>
      </c>
      <c r="R251" t="str">
        <f>_xlfn.XLOOKUP(Table_Trailer_Restock[[#This Row],[Location]],Table_Trailer_Location[[Label ]],Table_Trailer_Location[Sort Order],"",0,1)</f>
        <v>T16</v>
      </c>
      <c r="S251">
        <v>5</v>
      </c>
      <c r="T251" t="str">
        <f>_xlfn.CONCAT(Table_Trailer_Restock[[#This Row],[Macro Sort]]," ",Table_Trailer_Restock[[#This Row],[Location]])</f>
        <v>T16 Safety Gear</v>
      </c>
    </row>
    <row r="252" spans="1:20" x14ac:dyDescent="0.45">
      <c r="A252">
        <v>241</v>
      </c>
      <c r="B252" t="s">
        <v>603</v>
      </c>
      <c r="E252" t="s">
        <v>29</v>
      </c>
      <c r="F252" s="16" t="s">
        <v>604</v>
      </c>
      <c r="G252" s="16">
        <v>6</v>
      </c>
      <c r="H252" s="16">
        <v>6</v>
      </c>
      <c r="I252" t="s">
        <v>1143</v>
      </c>
      <c r="J252" t="b">
        <v>1</v>
      </c>
      <c r="K252" t="b">
        <v>1</v>
      </c>
      <c r="L252" t="b">
        <v>0</v>
      </c>
      <c r="M252" s="9"/>
      <c r="N252" t="s">
        <v>594</v>
      </c>
      <c r="Q252" t="s">
        <v>848</v>
      </c>
      <c r="R252" t="str">
        <f>_xlfn.XLOOKUP(Table_Trailer_Restock[[#This Row],[Location]],Table_Trailer_Location[[Label ]],Table_Trailer_Location[Sort Order],"",0,1)</f>
        <v>T16</v>
      </c>
      <c r="S252">
        <v>6</v>
      </c>
      <c r="T252" t="str">
        <f>_xlfn.CONCAT(Table_Trailer_Restock[[#This Row],[Macro Sort]]," ",Table_Trailer_Restock[[#This Row],[Location]])</f>
        <v>T16 Safety Gear</v>
      </c>
    </row>
    <row r="253" spans="1:20" x14ac:dyDescent="0.45">
      <c r="A253">
        <v>242</v>
      </c>
      <c r="B253" t="s">
        <v>605</v>
      </c>
      <c r="E253" t="s">
        <v>29</v>
      </c>
      <c r="F253" s="16">
        <v>104813700</v>
      </c>
      <c r="G253" s="16">
        <v>6</v>
      </c>
      <c r="H253" s="16">
        <v>3</v>
      </c>
      <c r="I253" t="s">
        <v>1144</v>
      </c>
      <c r="J253" t="b">
        <v>1</v>
      </c>
      <c r="K253" t="b">
        <v>1</v>
      </c>
      <c r="L253" t="b">
        <v>0</v>
      </c>
      <c r="M253" s="9"/>
      <c r="N253" t="s">
        <v>594</v>
      </c>
      <c r="Q253" t="s">
        <v>848</v>
      </c>
      <c r="R253" t="str">
        <f>_xlfn.XLOOKUP(Table_Trailer_Restock[[#This Row],[Location]],Table_Trailer_Location[[Label ]],Table_Trailer_Location[Sort Order],"",0,1)</f>
        <v>T16</v>
      </c>
      <c r="S253">
        <v>7</v>
      </c>
      <c r="T253" t="str">
        <f>_xlfn.CONCAT(Table_Trailer_Restock[[#This Row],[Macro Sort]]," ",Table_Trailer_Restock[[#This Row],[Location]])</f>
        <v>T16 Safety Gear</v>
      </c>
    </row>
    <row r="254" spans="1:20" x14ac:dyDescent="0.45">
      <c r="A254">
        <v>243</v>
      </c>
      <c r="B254" t="s">
        <v>606</v>
      </c>
      <c r="E254" t="s">
        <v>505</v>
      </c>
      <c r="F254" s="16" t="s">
        <v>608</v>
      </c>
      <c r="G254" s="16">
        <v>10</v>
      </c>
      <c r="H254" s="16">
        <v>6</v>
      </c>
      <c r="I254" t="s">
        <v>1145</v>
      </c>
      <c r="J254" t="b">
        <v>1</v>
      </c>
      <c r="K254" t="b">
        <v>1</v>
      </c>
      <c r="L254" t="b">
        <v>0</v>
      </c>
      <c r="M254" s="9"/>
      <c r="N254" t="s">
        <v>594</v>
      </c>
      <c r="Q254" t="s">
        <v>848</v>
      </c>
      <c r="R254" t="str">
        <f>_xlfn.XLOOKUP(Table_Trailer_Restock[[#This Row],[Location]],Table_Trailer_Location[[Label ]],Table_Trailer_Location[Sort Order],"",0,1)</f>
        <v>T16</v>
      </c>
      <c r="S254">
        <v>8</v>
      </c>
      <c r="T254" t="str">
        <f>_xlfn.CONCAT(Table_Trailer_Restock[[#This Row],[Macro Sort]]," ",Table_Trailer_Restock[[#This Row],[Location]])</f>
        <v>T16 Safety Gear</v>
      </c>
    </row>
    <row r="255" spans="1:20" x14ac:dyDescent="0.45">
      <c r="A255">
        <v>244</v>
      </c>
      <c r="B255" t="s">
        <v>609</v>
      </c>
      <c r="E255" t="s">
        <v>505</v>
      </c>
      <c r="F255" s="16" t="s">
        <v>611</v>
      </c>
      <c r="G255" s="16">
        <v>1</v>
      </c>
      <c r="H255" s="16"/>
      <c r="I255" t="s">
        <v>1146</v>
      </c>
      <c r="J255" t="b">
        <v>1</v>
      </c>
      <c r="K255" t="b">
        <v>1</v>
      </c>
      <c r="L255" t="b">
        <v>0</v>
      </c>
      <c r="M255" s="9"/>
      <c r="N255" t="s">
        <v>594</v>
      </c>
      <c r="Q255" t="s">
        <v>848</v>
      </c>
      <c r="R255" t="str">
        <f>_xlfn.XLOOKUP(Table_Trailer_Restock[[#This Row],[Location]],Table_Trailer_Location[[Label ]],Table_Trailer_Location[Sort Order],"",0,1)</f>
        <v>T16</v>
      </c>
      <c r="S255">
        <v>9</v>
      </c>
      <c r="T255" t="str">
        <f>_xlfn.CONCAT(Table_Trailer_Restock[[#This Row],[Macro Sort]]," ",Table_Trailer_Restock[[#This Row],[Location]])</f>
        <v>T16 Safety Gear</v>
      </c>
    </row>
    <row r="256" spans="1:20" x14ac:dyDescent="0.45">
      <c r="A256">
        <v>245</v>
      </c>
      <c r="B256" t="s">
        <v>612</v>
      </c>
      <c r="E256" t="s">
        <v>29</v>
      </c>
      <c r="F256" s="16">
        <v>1004307679</v>
      </c>
      <c r="G256" s="16">
        <v>6</v>
      </c>
      <c r="H256" s="16">
        <v>6</v>
      </c>
      <c r="I256" t="s">
        <v>1147</v>
      </c>
      <c r="J256" t="b">
        <v>1</v>
      </c>
      <c r="K256" t="b">
        <v>1</v>
      </c>
      <c r="L256" t="b">
        <v>0</v>
      </c>
      <c r="M256" s="9"/>
      <c r="N256" t="s">
        <v>594</v>
      </c>
      <c r="Q256" t="s">
        <v>848</v>
      </c>
      <c r="R256" t="str">
        <f>_xlfn.XLOOKUP(Table_Trailer_Restock[[#This Row],[Location]],Table_Trailer_Location[[Label ]],Table_Trailer_Location[Sort Order],"",0,1)</f>
        <v>T16</v>
      </c>
      <c r="S256">
        <v>10</v>
      </c>
      <c r="T256" t="str">
        <f>_xlfn.CONCAT(Table_Trailer_Restock[[#This Row],[Macro Sort]]," ",Table_Trailer_Restock[[#This Row],[Location]])</f>
        <v>T16 Safety Gear</v>
      </c>
    </row>
    <row r="257" spans="1:20" x14ac:dyDescent="0.45">
      <c r="A257">
        <v>246</v>
      </c>
      <c r="B257" t="s">
        <v>614</v>
      </c>
      <c r="E257" t="s">
        <v>596</v>
      </c>
      <c r="F257" s="16"/>
      <c r="G257" s="16">
        <v>1</v>
      </c>
      <c r="H257" s="16"/>
      <c r="I257" t="s">
        <v>1148</v>
      </c>
      <c r="J257" t="b">
        <v>1</v>
      </c>
      <c r="K257" t="b">
        <v>1</v>
      </c>
      <c r="L257" t="b">
        <v>0</v>
      </c>
      <c r="M257" s="9"/>
      <c r="N257" t="s">
        <v>594</v>
      </c>
      <c r="Q257" t="s">
        <v>848</v>
      </c>
      <c r="R257" t="str">
        <f>_xlfn.XLOOKUP(Table_Trailer_Restock[[#This Row],[Location]],Table_Trailer_Location[[Label ]],Table_Trailer_Location[Sort Order],"",0,1)</f>
        <v>T16</v>
      </c>
      <c r="S257">
        <v>11</v>
      </c>
      <c r="T257" t="str">
        <f>_xlfn.CONCAT(Table_Trailer_Restock[[#This Row],[Macro Sort]]," ",Table_Trailer_Restock[[#This Row],[Location]])</f>
        <v>T16 Safety Gear</v>
      </c>
    </row>
    <row r="258" spans="1:20" x14ac:dyDescent="0.45">
      <c r="A258">
        <v>247</v>
      </c>
      <c r="B258" t="s">
        <v>615</v>
      </c>
      <c r="E258" t="s">
        <v>596</v>
      </c>
      <c r="F258" s="16"/>
      <c r="G258" s="16">
        <v>1</v>
      </c>
      <c r="H258" s="16"/>
      <c r="I258" t="s">
        <v>1149</v>
      </c>
      <c r="J258" t="b">
        <v>1</v>
      </c>
      <c r="K258" t="b">
        <v>1</v>
      </c>
      <c r="L258" t="b">
        <v>0</v>
      </c>
      <c r="M258" s="9"/>
      <c r="N258" t="s">
        <v>594</v>
      </c>
      <c r="Q258" t="s">
        <v>848</v>
      </c>
      <c r="R258" t="str">
        <f>_xlfn.XLOOKUP(Table_Trailer_Restock[[#This Row],[Location]],Table_Trailer_Location[[Label ]],Table_Trailer_Location[Sort Order],"",0,1)</f>
        <v>T16</v>
      </c>
      <c r="S258">
        <v>12</v>
      </c>
      <c r="T258" t="str">
        <f>_xlfn.CONCAT(Table_Trailer_Restock[[#This Row],[Macro Sort]]," ",Table_Trailer_Restock[[#This Row],[Location]])</f>
        <v>T16 Safety Gear</v>
      </c>
    </row>
    <row r="259" spans="1:20" x14ac:dyDescent="0.45">
      <c r="A259">
        <v>248</v>
      </c>
      <c r="B259" t="s">
        <v>616</v>
      </c>
      <c r="E259" t="s">
        <v>29</v>
      </c>
      <c r="F259" s="16" t="s">
        <v>617</v>
      </c>
      <c r="G259" s="16">
        <v>6</v>
      </c>
      <c r="H259" s="16">
        <v>6</v>
      </c>
      <c r="I259" t="s">
        <v>1150</v>
      </c>
      <c r="J259" t="b">
        <v>1</v>
      </c>
      <c r="K259" t="b">
        <v>1</v>
      </c>
      <c r="L259" t="b">
        <v>0</v>
      </c>
      <c r="M259" s="9"/>
      <c r="N259" t="s">
        <v>594</v>
      </c>
      <c r="Q259" t="s">
        <v>848</v>
      </c>
      <c r="R259" t="str">
        <f>_xlfn.XLOOKUP(Table_Trailer_Restock[[#This Row],[Location]],Table_Trailer_Location[[Label ]],Table_Trailer_Location[Sort Order],"",0,1)</f>
        <v>T16</v>
      </c>
      <c r="S259">
        <v>13</v>
      </c>
      <c r="T259" t="str">
        <f>_xlfn.CONCAT(Table_Trailer_Restock[[#This Row],[Macro Sort]]," ",Table_Trailer_Restock[[#This Row],[Location]])</f>
        <v>T16 Safety Gear</v>
      </c>
    </row>
    <row r="260" spans="1:20" x14ac:dyDescent="0.45">
      <c r="A260">
        <v>249</v>
      </c>
      <c r="B260" t="s">
        <v>618</v>
      </c>
      <c r="E260" t="s">
        <v>40</v>
      </c>
      <c r="F260" s="16" t="s">
        <v>621</v>
      </c>
      <c r="G260" s="16">
        <v>4</v>
      </c>
      <c r="H260" s="16">
        <v>4</v>
      </c>
      <c r="I260" t="s">
        <v>1151</v>
      </c>
      <c r="J260" t="b">
        <v>1</v>
      </c>
      <c r="K260" t="b">
        <v>1</v>
      </c>
      <c r="L260" t="b">
        <v>0</v>
      </c>
      <c r="M260" s="9"/>
      <c r="N260" t="s">
        <v>619</v>
      </c>
      <c r="Q260" t="s">
        <v>848</v>
      </c>
      <c r="R260" t="str">
        <f>_xlfn.XLOOKUP(Table_Trailer_Restock[[#This Row],[Location]],Table_Trailer_Location[[Label ]],Table_Trailer_Location[Sort Order],"",0,1)</f>
        <v>T17</v>
      </c>
      <c r="S260">
        <v>1</v>
      </c>
      <c r="T260" t="str">
        <f>_xlfn.CONCAT(Table_Trailer_Restock[[#This Row],[Macro Sort]]," ",Table_Trailer_Restock[[#This Row],[Location]])</f>
        <v>T17 Securing &amp; Support</v>
      </c>
    </row>
    <row r="261" spans="1:20" x14ac:dyDescent="0.45">
      <c r="A261">
        <v>250</v>
      </c>
      <c r="B261" t="s">
        <v>622</v>
      </c>
      <c r="E261" t="s">
        <v>494</v>
      </c>
      <c r="F261" s="16"/>
      <c r="G261" s="16" t="s">
        <v>115</v>
      </c>
      <c r="H261" s="16" t="s">
        <v>115</v>
      </c>
      <c r="I261" t="s">
        <v>1152</v>
      </c>
      <c r="J261" t="b">
        <v>1</v>
      </c>
      <c r="K261" t="b">
        <v>1</v>
      </c>
      <c r="L261" t="b">
        <v>0</v>
      </c>
      <c r="M261" s="9"/>
      <c r="N261" t="s">
        <v>619</v>
      </c>
      <c r="O261" t="s">
        <v>891</v>
      </c>
      <c r="P261" t="s">
        <v>868</v>
      </c>
      <c r="Q261" t="s">
        <v>870</v>
      </c>
      <c r="R261" t="str">
        <f>_xlfn.XLOOKUP(Table_Trailer_Restock[[#This Row],[Location]],Table_Trailer_Location[[Label ]],Table_Trailer_Location[Sort Order],"",0,1)</f>
        <v>T17</v>
      </c>
      <c r="S261">
        <v>2</v>
      </c>
      <c r="T261" t="str">
        <f>_xlfn.CONCAT(Table_Trailer_Restock[[#This Row],[Macro Sort]]," ",Table_Trailer_Restock[[#This Row],[Location]])</f>
        <v>T17 Securing &amp; Support</v>
      </c>
    </row>
    <row r="262" spans="1:20" x14ac:dyDescent="0.45">
      <c r="A262">
        <v>251</v>
      </c>
      <c r="B262" t="s">
        <v>623</v>
      </c>
      <c r="E262" t="s">
        <v>494</v>
      </c>
      <c r="F262" s="16"/>
      <c r="G262" s="16" t="s">
        <v>115</v>
      </c>
      <c r="H262" s="16" t="s">
        <v>115</v>
      </c>
      <c r="I262" t="s">
        <v>1153</v>
      </c>
      <c r="J262" t="b">
        <v>1</v>
      </c>
      <c r="K262" t="b">
        <v>1</v>
      </c>
      <c r="L262" t="b">
        <v>0</v>
      </c>
      <c r="M262" s="9"/>
      <c r="N262" t="s">
        <v>619</v>
      </c>
      <c r="O262" t="s">
        <v>891</v>
      </c>
      <c r="P262" t="s">
        <v>868</v>
      </c>
      <c r="Q262" t="s">
        <v>870</v>
      </c>
      <c r="R262" t="str">
        <f>_xlfn.XLOOKUP(Table_Trailer_Restock[[#This Row],[Location]],Table_Trailer_Location[[Label ]],Table_Trailer_Location[Sort Order],"",0,1)</f>
        <v>T17</v>
      </c>
      <c r="S262">
        <v>3</v>
      </c>
      <c r="T262" t="str">
        <f>_xlfn.CONCAT(Table_Trailer_Restock[[#This Row],[Macro Sort]]," ",Table_Trailer_Restock[[#This Row],[Location]])</f>
        <v>T17 Securing &amp; Support</v>
      </c>
    </row>
    <row r="263" spans="1:20" x14ac:dyDescent="0.45">
      <c r="A263">
        <v>252</v>
      </c>
      <c r="B263" t="s">
        <v>624</v>
      </c>
      <c r="E263" t="s">
        <v>494</v>
      </c>
      <c r="F263" s="16"/>
      <c r="G263" s="16" t="s">
        <v>115</v>
      </c>
      <c r="H263" s="16" t="s">
        <v>115</v>
      </c>
      <c r="I263" t="s">
        <v>1154</v>
      </c>
      <c r="J263" t="b">
        <v>1</v>
      </c>
      <c r="K263" t="b">
        <v>1</v>
      </c>
      <c r="L263" t="b">
        <v>0</v>
      </c>
      <c r="M263" s="9"/>
      <c r="N263" t="s">
        <v>619</v>
      </c>
      <c r="O263" t="s">
        <v>891</v>
      </c>
      <c r="P263" t="s">
        <v>868</v>
      </c>
      <c r="Q263" t="s">
        <v>870</v>
      </c>
      <c r="R263" t="str">
        <f>_xlfn.XLOOKUP(Table_Trailer_Restock[[#This Row],[Location]],Table_Trailer_Location[[Label ]],Table_Trailer_Location[Sort Order],"",0,1)</f>
        <v>T17</v>
      </c>
      <c r="S263">
        <v>4</v>
      </c>
      <c r="T263" t="str">
        <f>_xlfn.CONCAT(Table_Trailer_Restock[[#This Row],[Macro Sort]]," ",Table_Trailer_Restock[[#This Row],[Location]])</f>
        <v>T17 Securing &amp; Support</v>
      </c>
    </row>
    <row r="264" spans="1:20" x14ac:dyDescent="0.45">
      <c r="A264">
        <v>253</v>
      </c>
      <c r="B264" t="s">
        <v>625</v>
      </c>
      <c r="E264" t="s">
        <v>494</v>
      </c>
      <c r="F264" s="16"/>
      <c r="G264" s="16" t="s">
        <v>627</v>
      </c>
      <c r="H264" s="16" t="s">
        <v>115</v>
      </c>
      <c r="I264" t="s">
        <v>1155</v>
      </c>
      <c r="J264" t="b">
        <v>1</v>
      </c>
      <c r="K264" t="b">
        <v>1</v>
      </c>
      <c r="L264" t="b">
        <v>0</v>
      </c>
      <c r="M264" s="9"/>
      <c r="N264" t="s">
        <v>619</v>
      </c>
      <c r="O264" t="s">
        <v>891</v>
      </c>
      <c r="P264" t="s">
        <v>868</v>
      </c>
      <c r="Q264" t="s">
        <v>870</v>
      </c>
      <c r="R264" t="str">
        <f>_xlfn.XLOOKUP(Table_Trailer_Restock[[#This Row],[Location]],Table_Trailer_Location[[Label ]],Table_Trailer_Location[Sort Order],"",0,1)</f>
        <v>T17</v>
      </c>
      <c r="S264">
        <v>5</v>
      </c>
      <c r="T264" t="str">
        <f>_xlfn.CONCAT(Table_Trailer_Restock[[#This Row],[Macro Sort]]," ",Table_Trailer_Restock[[#This Row],[Location]])</f>
        <v>T17 Securing &amp; Support</v>
      </c>
    </row>
    <row r="265" spans="1:20" x14ac:dyDescent="0.45">
      <c r="A265">
        <v>254</v>
      </c>
      <c r="B265" t="s">
        <v>628</v>
      </c>
      <c r="E265" t="s">
        <v>29</v>
      </c>
      <c r="F265" s="16">
        <v>526445</v>
      </c>
      <c r="G265" s="16" t="s">
        <v>630</v>
      </c>
      <c r="H265" s="16" t="s">
        <v>630</v>
      </c>
      <c r="I265" t="s">
        <v>1156</v>
      </c>
      <c r="J265" t="b">
        <v>1</v>
      </c>
      <c r="K265" t="b">
        <v>1</v>
      </c>
      <c r="L265" t="b">
        <v>0</v>
      </c>
      <c r="M265" s="9"/>
      <c r="N265" t="s">
        <v>619</v>
      </c>
      <c r="Q265" t="s">
        <v>848</v>
      </c>
      <c r="R265" t="str">
        <f>_xlfn.XLOOKUP(Table_Trailer_Restock[[#This Row],[Location]],Table_Trailer_Location[[Label ]],Table_Trailer_Location[Sort Order],"",0,1)</f>
        <v>T17</v>
      </c>
      <c r="S265">
        <v>6</v>
      </c>
      <c r="T265" t="str">
        <f>_xlfn.CONCAT(Table_Trailer_Restock[[#This Row],[Macro Sort]]," ",Table_Trailer_Restock[[#This Row],[Location]])</f>
        <v>T17 Securing &amp; Support</v>
      </c>
    </row>
    <row r="266" spans="1:20" x14ac:dyDescent="0.45">
      <c r="A266">
        <v>255</v>
      </c>
      <c r="B266" t="s">
        <v>631</v>
      </c>
      <c r="E266" t="s">
        <v>29</v>
      </c>
      <c r="F266" s="16">
        <v>748726</v>
      </c>
      <c r="G266" s="16" t="s">
        <v>632</v>
      </c>
      <c r="H266" s="16" t="s">
        <v>632</v>
      </c>
      <c r="I266" t="s">
        <v>1157</v>
      </c>
      <c r="J266" t="b">
        <v>1</v>
      </c>
      <c r="K266" t="b">
        <v>1</v>
      </c>
      <c r="L266" t="b">
        <v>0</v>
      </c>
      <c r="M266" s="9"/>
      <c r="N266" t="s">
        <v>619</v>
      </c>
      <c r="O266" t="s">
        <v>1158</v>
      </c>
      <c r="P266" t="s">
        <v>1159</v>
      </c>
      <c r="Q266" t="s">
        <v>1160</v>
      </c>
      <c r="R266" t="str">
        <f>_xlfn.XLOOKUP(Table_Trailer_Restock[[#This Row],[Location]],Table_Trailer_Location[[Label ]],Table_Trailer_Location[Sort Order],"",0,1)</f>
        <v>T17</v>
      </c>
      <c r="S266">
        <v>7</v>
      </c>
      <c r="T266" t="str">
        <f>_xlfn.CONCAT(Table_Trailer_Restock[[#This Row],[Macro Sort]]," ",Table_Trailer_Restock[[#This Row],[Location]])</f>
        <v>T17 Securing &amp; Support</v>
      </c>
    </row>
    <row r="267" spans="1:20" x14ac:dyDescent="0.45">
      <c r="A267">
        <v>256</v>
      </c>
      <c r="B267" t="s">
        <v>633</v>
      </c>
      <c r="E267" t="s">
        <v>29</v>
      </c>
      <c r="F267" s="16">
        <v>748780</v>
      </c>
      <c r="G267" s="16" t="s">
        <v>632</v>
      </c>
      <c r="H267" s="16" t="s">
        <v>632</v>
      </c>
      <c r="I267" t="s">
        <v>1161</v>
      </c>
      <c r="J267" t="b">
        <v>1</v>
      </c>
      <c r="K267" t="b">
        <v>1</v>
      </c>
      <c r="L267" t="b">
        <v>0</v>
      </c>
      <c r="M267" s="9"/>
      <c r="N267" t="s">
        <v>619</v>
      </c>
      <c r="O267" t="s">
        <v>1158</v>
      </c>
      <c r="P267" t="s">
        <v>1159</v>
      </c>
      <c r="Q267" t="s">
        <v>1160</v>
      </c>
      <c r="R267" t="str">
        <f>_xlfn.XLOOKUP(Table_Trailer_Restock[[#This Row],[Location]],Table_Trailer_Location[[Label ]],Table_Trailer_Location[Sort Order],"",0,1)</f>
        <v>T17</v>
      </c>
      <c r="S267">
        <v>8</v>
      </c>
      <c r="T267" t="str">
        <f>_xlfn.CONCAT(Table_Trailer_Restock[[#This Row],[Macro Sort]]," ",Table_Trailer_Restock[[#This Row],[Location]])</f>
        <v>T17 Securing &amp; Support</v>
      </c>
    </row>
    <row r="268" spans="1:20" x14ac:dyDescent="0.45">
      <c r="A268">
        <v>257</v>
      </c>
      <c r="B268" t="s">
        <v>635</v>
      </c>
      <c r="F268" s="16"/>
      <c r="G268" s="16" t="s">
        <v>632</v>
      </c>
      <c r="H268" s="16" t="s">
        <v>632</v>
      </c>
      <c r="I268" t="s">
        <v>1162</v>
      </c>
      <c r="J268" t="b">
        <v>1</v>
      </c>
      <c r="K268" t="b">
        <v>1</v>
      </c>
      <c r="L268" t="b">
        <v>0</v>
      </c>
      <c r="M268" s="9"/>
      <c r="N268" t="s">
        <v>619</v>
      </c>
      <c r="Q268" t="s">
        <v>848</v>
      </c>
      <c r="R268" t="str">
        <f>_xlfn.XLOOKUP(Table_Trailer_Restock[[#This Row],[Location]],Table_Trailer_Location[[Label ]],Table_Trailer_Location[Sort Order],"",0,1)</f>
        <v>T17</v>
      </c>
      <c r="S268">
        <v>9</v>
      </c>
      <c r="T268" t="str">
        <f>_xlfn.CONCAT(Table_Trailer_Restock[[#This Row],[Macro Sort]]," ",Table_Trailer_Restock[[#This Row],[Location]])</f>
        <v>T17 Securing &amp; Support</v>
      </c>
    </row>
    <row r="269" spans="1:20" x14ac:dyDescent="0.45">
      <c r="A269">
        <v>258</v>
      </c>
      <c r="B269" t="s">
        <v>637</v>
      </c>
      <c r="E269" t="s">
        <v>29</v>
      </c>
      <c r="F269" s="16">
        <v>172634</v>
      </c>
      <c r="G269" s="16" t="s">
        <v>639</v>
      </c>
      <c r="H269" s="16" t="s">
        <v>639</v>
      </c>
      <c r="I269" t="s">
        <v>1163</v>
      </c>
      <c r="J269" t="b">
        <v>1</v>
      </c>
      <c r="K269" t="b">
        <v>1</v>
      </c>
      <c r="L269" t="b">
        <v>0</v>
      </c>
      <c r="M269" s="9"/>
      <c r="N269" t="s">
        <v>619</v>
      </c>
      <c r="Q269" t="s">
        <v>848</v>
      </c>
      <c r="R269" t="str">
        <f>_xlfn.XLOOKUP(Table_Trailer_Restock[[#This Row],[Location]],Table_Trailer_Location[[Label ]],Table_Trailer_Location[Sort Order],"",0,1)</f>
        <v>T17</v>
      </c>
      <c r="S269">
        <v>10</v>
      </c>
      <c r="T269" t="str">
        <f>_xlfn.CONCAT(Table_Trailer_Restock[[#This Row],[Macro Sort]]," ",Table_Trailer_Restock[[#This Row],[Location]])</f>
        <v>T17 Securing &amp; Support</v>
      </c>
    </row>
    <row r="270" spans="1:20" x14ac:dyDescent="0.45">
      <c r="A270">
        <v>259</v>
      </c>
      <c r="B270" t="s">
        <v>640</v>
      </c>
      <c r="E270" t="s">
        <v>29</v>
      </c>
      <c r="F270" s="16" t="s">
        <v>643</v>
      </c>
      <c r="G270" s="16">
        <v>10</v>
      </c>
      <c r="H270" s="16">
        <v>6</v>
      </c>
      <c r="I270" t="s">
        <v>1164</v>
      </c>
      <c r="J270" t="b">
        <v>1</v>
      </c>
      <c r="K270" t="b">
        <v>1</v>
      </c>
      <c r="L270" t="b">
        <v>0</v>
      </c>
      <c r="M270" s="9"/>
      <c r="N270" t="s">
        <v>641</v>
      </c>
      <c r="Q270" t="s">
        <v>848</v>
      </c>
      <c r="R270" t="str">
        <f>_xlfn.XLOOKUP(Table_Trailer_Restock[[#This Row],[Location]],Table_Trailer_Location[[Label ]],Table_Trailer_Location[Sort Order],"",0,1)</f>
        <v>T19</v>
      </c>
      <c r="S270">
        <v>1</v>
      </c>
      <c r="T270" t="str">
        <f>_xlfn.CONCAT(Table_Trailer_Restock[[#This Row],[Macro Sort]]," ",Table_Trailer_Restock[[#This Row],[Location]])</f>
        <v>T19 Wood</v>
      </c>
    </row>
  </sheetData>
  <phoneticPr fontId="1" type="noConversion"/>
  <conditionalFormatting sqref="V12:V40">
    <cfRule type="duplicateValues" dxfId="44" priority="3"/>
  </conditionalFormatting>
  <conditionalFormatting sqref="K12:L270">
    <cfRule type="cellIs" dxfId="43" priority="4" operator="equal">
      <formula>FALSE</formula>
    </cfRule>
    <cfRule type="cellIs" dxfId="42" priority="5" operator="equal">
      <formula>TRUE</formula>
    </cfRule>
  </conditionalFormatting>
  <conditionalFormatting sqref="J12:J270">
    <cfRule type="cellIs" dxfId="41" priority="1" operator="equal">
      <formula>FALSE</formula>
    </cfRule>
    <cfRule type="cellIs" dxfId="40" priority="2" operator="equal">
      <formula>TRUE</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Button1_Click">
                <anchor moveWithCells="1" sizeWithCells="1">
                  <from>
                    <xdr:col>0</xdr:col>
                    <xdr:colOff>100013</xdr:colOff>
                    <xdr:row>0</xdr:row>
                    <xdr:rowOff>1919288</xdr:rowOff>
                  </from>
                  <to>
                    <xdr:col>1</xdr:col>
                    <xdr:colOff>776288</xdr:colOff>
                    <xdr:row>1</xdr:row>
                    <xdr:rowOff>0</xdr:rowOff>
                  </to>
                </anchor>
              </controlPr>
            </control>
          </mc:Choice>
        </mc:AlternateContent>
      </controls>
    </mc:Choice>
  </mc:AlternateContent>
  <tableParts count="2">
    <tablePart r:id="rId4"/>
    <tablePart r:id="rId5"/>
  </tableParts>
  <extLst>
    <ext xmlns:x15="http://schemas.microsoft.com/office/spreadsheetml/2010/11/main" uri="{3A4CF648-6AED-40f4-86FF-DC5316D8AED3}">
      <x14:slicerList xmlns:x14="http://schemas.microsoft.com/office/spreadsheetml/2009/9/main">
        <x14:slicer r:id="rId6"/>
      </x14:slicerList>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06E308-3D4A-4C3C-B057-C0B9C1AC8ABC}">
  <sheetPr codeName="Sheet2"/>
  <dimension ref="A1:AA342"/>
  <sheetViews>
    <sheetView zoomScale="130" zoomScaleNormal="130" workbookViewId="0">
      <pane ySplit="11" topLeftCell="A105" activePane="bottomLeft" state="frozen"/>
      <selection pane="bottomLeft" activeCell="E105" sqref="E105"/>
    </sheetView>
  </sheetViews>
  <sheetFormatPr defaultRowHeight="14.25" x14ac:dyDescent="0.45"/>
  <cols>
    <col min="1" max="1" width="17.59765625" bestFit="1" customWidth="1"/>
    <col min="2" max="2" width="37.265625" bestFit="1" customWidth="1"/>
    <col min="3" max="3" width="13.86328125" hidden="1" customWidth="1"/>
    <col min="4" max="4" width="12.3984375" hidden="1" customWidth="1"/>
    <col min="5" max="5" width="19.3984375" bestFit="1" customWidth="1"/>
    <col min="6" max="6" width="34.59765625" bestFit="1" customWidth="1"/>
    <col min="7" max="7" width="11.59765625" bestFit="1" customWidth="1"/>
  </cols>
  <sheetData>
    <row r="1" spans="1:27" x14ac:dyDescent="0.45">
      <c r="Y1">
        <v>324</v>
      </c>
      <c r="Z1">
        <v>328</v>
      </c>
      <c r="AA1">
        <v>329</v>
      </c>
    </row>
    <row r="6" spans="1:27" ht="16.7" customHeight="1" x14ac:dyDescent="0.45"/>
    <row r="7" spans="1:27" ht="16.7" customHeight="1" x14ac:dyDescent="0.45"/>
    <row r="8" spans="1:27" ht="16.7" customHeight="1" x14ac:dyDescent="0.45"/>
    <row r="10" spans="1:27" x14ac:dyDescent="0.45">
      <c r="A10">
        <f>SUBTOTAL(3,Image_Tool[Master Record ID])</f>
        <v>14</v>
      </c>
    </row>
    <row r="11" spans="1:27" x14ac:dyDescent="0.45">
      <c r="A11" t="s">
        <v>1</v>
      </c>
      <c r="B11" t="s">
        <v>2</v>
      </c>
      <c r="C11" t="s">
        <v>7</v>
      </c>
      <c r="D11" t="s">
        <v>8</v>
      </c>
      <c r="E11" t="s">
        <v>9</v>
      </c>
      <c r="F11" t="s">
        <v>10</v>
      </c>
      <c r="G11" t="s">
        <v>1165</v>
      </c>
    </row>
    <row r="12" spans="1:27" hidden="1" x14ac:dyDescent="0.45">
      <c r="A12" s="2">
        <v>1</v>
      </c>
      <c r="B12" s="2" t="s">
        <v>24</v>
      </c>
      <c r="C12" s="2"/>
      <c r="D12" s="2"/>
      <c r="E12" s="2" t="s">
        <v>29</v>
      </c>
      <c r="F12" s="2" t="s">
        <v>30</v>
      </c>
      <c r="G12" t="s">
        <v>1166</v>
      </c>
    </row>
    <row r="13" spans="1:27" hidden="1" x14ac:dyDescent="0.45">
      <c r="A13" s="2">
        <v>2</v>
      </c>
      <c r="B13" s="2" t="s">
        <v>32</v>
      </c>
      <c r="C13" s="2"/>
      <c r="D13" s="2"/>
      <c r="E13" s="2" t="s">
        <v>29</v>
      </c>
      <c r="F13" s="2" t="s">
        <v>33</v>
      </c>
      <c r="G13" t="s">
        <v>1166</v>
      </c>
    </row>
    <row r="14" spans="1:27" hidden="1" x14ac:dyDescent="0.45">
      <c r="A14" s="2">
        <v>3</v>
      </c>
      <c r="B14" s="2" t="s">
        <v>34</v>
      </c>
      <c r="C14" s="2"/>
      <c r="D14" s="2"/>
      <c r="E14" s="2" t="s">
        <v>29</v>
      </c>
      <c r="F14" s="2">
        <v>959340</v>
      </c>
      <c r="G14" t="s">
        <v>1166</v>
      </c>
    </row>
    <row r="15" spans="1:27" hidden="1" x14ac:dyDescent="0.45">
      <c r="A15" s="2">
        <v>4</v>
      </c>
      <c r="B15" s="2" t="s">
        <v>36</v>
      </c>
      <c r="C15" s="2"/>
      <c r="D15" s="2"/>
      <c r="E15" s="2" t="s">
        <v>29</v>
      </c>
      <c r="F15" s="2">
        <v>1005183384</v>
      </c>
      <c r="G15" t="s">
        <v>1166</v>
      </c>
    </row>
    <row r="16" spans="1:27" hidden="1" x14ac:dyDescent="0.45">
      <c r="A16" s="2">
        <v>5</v>
      </c>
      <c r="B16" s="2" t="s">
        <v>38</v>
      </c>
      <c r="C16" s="2"/>
      <c r="D16" s="2"/>
      <c r="E16" s="2" t="s">
        <v>29</v>
      </c>
      <c r="F16" s="2">
        <v>349236</v>
      </c>
      <c r="G16" t="s">
        <v>1166</v>
      </c>
    </row>
    <row r="17" spans="1:7" hidden="1" x14ac:dyDescent="0.45">
      <c r="A17" s="2">
        <v>6</v>
      </c>
      <c r="B17" s="2" t="s">
        <v>39</v>
      </c>
      <c r="C17" s="2"/>
      <c r="D17" s="2"/>
      <c r="E17" s="2" t="s">
        <v>40</v>
      </c>
      <c r="F17" s="2" t="s">
        <v>41</v>
      </c>
      <c r="G17" t="s">
        <v>1166</v>
      </c>
    </row>
    <row r="18" spans="1:7" hidden="1" x14ac:dyDescent="0.45">
      <c r="A18" s="2">
        <v>7</v>
      </c>
      <c r="B18" s="2" t="s">
        <v>42</v>
      </c>
      <c r="C18" s="2"/>
      <c r="D18" s="2"/>
      <c r="E18" s="2" t="s">
        <v>40</v>
      </c>
      <c r="F18" s="2" t="s">
        <v>43</v>
      </c>
      <c r="G18" t="s">
        <v>1166</v>
      </c>
    </row>
    <row r="19" spans="1:7" hidden="1" x14ac:dyDescent="0.45">
      <c r="A19" s="2">
        <v>8</v>
      </c>
      <c r="B19" s="2" t="s">
        <v>44</v>
      </c>
      <c r="C19" s="2"/>
      <c r="D19" s="2"/>
      <c r="E19" s="2" t="s">
        <v>40</v>
      </c>
      <c r="F19" s="2" t="s">
        <v>46</v>
      </c>
      <c r="G19" t="s">
        <v>1166</v>
      </c>
    </row>
    <row r="20" spans="1:7" hidden="1" x14ac:dyDescent="0.45">
      <c r="A20" s="2">
        <v>9</v>
      </c>
      <c r="B20" s="2" t="s">
        <v>47</v>
      </c>
      <c r="C20" s="2"/>
      <c r="D20" s="2"/>
      <c r="E20" s="2" t="s">
        <v>40</v>
      </c>
      <c r="F20" s="2" t="s">
        <v>48</v>
      </c>
      <c r="G20" t="s">
        <v>1166</v>
      </c>
    </row>
    <row r="21" spans="1:7" hidden="1" x14ac:dyDescent="0.45">
      <c r="A21" s="2">
        <v>10</v>
      </c>
      <c r="B21" s="2" t="s">
        <v>49</v>
      </c>
      <c r="C21" s="2"/>
      <c r="D21" s="2"/>
      <c r="E21" s="2" t="s">
        <v>40</v>
      </c>
      <c r="F21" s="2" t="s">
        <v>50</v>
      </c>
      <c r="G21" t="s">
        <v>1166</v>
      </c>
    </row>
    <row r="22" spans="1:7" hidden="1" x14ac:dyDescent="0.45">
      <c r="A22" s="2">
        <v>11</v>
      </c>
      <c r="B22" s="2" t="s">
        <v>51</v>
      </c>
      <c r="C22" s="2"/>
      <c r="D22" s="2"/>
      <c r="E22" s="2" t="s">
        <v>40</v>
      </c>
      <c r="F22" s="2" t="s">
        <v>52</v>
      </c>
      <c r="G22" t="s">
        <v>1166</v>
      </c>
    </row>
    <row r="23" spans="1:7" hidden="1" x14ac:dyDescent="0.45">
      <c r="A23" s="2">
        <v>12</v>
      </c>
      <c r="B23" s="2" t="s">
        <v>53</v>
      </c>
      <c r="C23" s="2"/>
      <c r="D23" s="2"/>
      <c r="E23" s="2" t="s">
        <v>40</v>
      </c>
      <c r="F23" s="2" t="s">
        <v>54</v>
      </c>
      <c r="G23" t="s">
        <v>1166</v>
      </c>
    </row>
    <row r="24" spans="1:7" hidden="1" x14ac:dyDescent="0.45">
      <c r="A24" s="2">
        <v>13</v>
      </c>
      <c r="B24" s="2" t="s">
        <v>55</v>
      </c>
      <c r="C24" s="2"/>
      <c r="D24" s="2"/>
      <c r="E24" s="2" t="s">
        <v>40</v>
      </c>
      <c r="F24" s="2" t="s">
        <v>56</v>
      </c>
      <c r="G24" t="s">
        <v>1166</v>
      </c>
    </row>
    <row r="25" spans="1:7" hidden="1" x14ac:dyDescent="0.45">
      <c r="A25" s="2">
        <v>14</v>
      </c>
      <c r="B25" s="2" t="s">
        <v>57</v>
      </c>
      <c r="C25" s="2"/>
      <c r="D25" s="2"/>
      <c r="E25" s="2" t="s">
        <v>29</v>
      </c>
      <c r="F25" s="2">
        <v>292579</v>
      </c>
      <c r="G25" t="s">
        <v>1166</v>
      </c>
    </row>
    <row r="26" spans="1:7" hidden="1" x14ac:dyDescent="0.45">
      <c r="A26" s="2">
        <v>15</v>
      </c>
      <c r="B26" s="2" t="s">
        <v>59</v>
      </c>
      <c r="C26" s="2"/>
      <c r="D26" s="2"/>
      <c r="E26" s="2" t="s">
        <v>40</v>
      </c>
      <c r="F26" s="2" t="s">
        <v>61</v>
      </c>
      <c r="G26" t="s">
        <v>1166</v>
      </c>
    </row>
    <row r="27" spans="1:7" hidden="1" x14ac:dyDescent="0.45">
      <c r="A27" s="2">
        <v>16</v>
      </c>
      <c r="B27" s="2" t="s">
        <v>62</v>
      </c>
      <c r="C27" s="2"/>
      <c r="D27" s="2"/>
      <c r="E27" s="2" t="s">
        <v>40</v>
      </c>
      <c r="F27" s="2" t="s">
        <v>63</v>
      </c>
      <c r="G27" t="s">
        <v>1166</v>
      </c>
    </row>
    <row r="28" spans="1:7" hidden="1" x14ac:dyDescent="0.45">
      <c r="A28" s="2">
        <v>17</v>
      </c>
      <c r="B28" s="2" t="s">
        <v>64</v>
      </c>
      <c r="C28" s="2"/>
      <c r="D28" s="2"/>
      <c r="E28" s="2" t="s">
        <v>40</v>
      </c>
      <c r="F28" s="2" t="s">
        <v>65</v>
      </c>
      <c r="G28" t="s">
        <v>1166</v>
      </c>
    </row>
    <row r="29" spans="1:7" hidden="1" x14ac:dyDescent="0.45">
      <c r="A29" s="2">
        <v>18</v>
      </c>
      <c r="B29" s="2" t="s">
        <v>66</v>
      </c>
      <c r="C29" s="2"/>
      <c r="D29" s="2"/>
      <c r="E29" s="2" t="s">
        <v>29</v>
      </c>
      <c r="F29" s="2">
        <v>1001403027</v>
      </c>
      <c r="G29" t="s">
        <v>1166</v>
      </c>
    </row>
    <row r="30" spans="1:7" hidden="1" x14ac:dyDescent="0.45">
      <c r="A30" s="2">
        <v>19</v>
      </c>
      <c r="B30" s="2" t="s">
        <v>67</v>
      </c>
      <c r="C30" s="2"/>
      <c r="D30" s="2"/>
      <c r="E30" s="2" t="s">
        <v>40</v>
      </c>
      <c r="F30" s="2" t="s">
        <v>69</v>
      </c>
      <c r="G30" t="s">
        <v>1166</v>
      </c>
    </row>
    <row r="31" spans="1:7" hidden="1" x14ac:dyDescent="0.45">
      <c r="A31" s="2">
        <v>20</v>
      </c>
      <c r="B31" s="2" t="s">
        <v>70</v>
      </c>
      <c r="C31" s="2"/>
      <c r="D31" s="2"/>
      <c r="E31" s="2" t="s">
        <v>40</v>
      </c>
      <c r="F31" s="2" t="s">
        <v>71</v>
      </c>
      <c r="G31" t="s">
        <v>1166</v>
      </c>
    </row>
    <row r="32" spans="1:7" hidden="1" x14ac:dyDescent="0.45">
      <c r="A32" s="2">
        <v>21</v>
      </c>
      <c r="B32" s="2" t="s">
        <v>72</v>
      </c>
      <c r="C32" s="2"/>
      <c r="D32" s="2"/>
      <c r="E32" s="2" t="s">
        <v>40</v>
      </c>
      <c r="F32" s="2" t="s">
        <v>73</v>
      </c>
      <c r="G32" t="s">
        <v>1166</v>
      </c>
    </row>
    <row r="33" spans="1:7" hidden="1" x14ac:dyDescent="0.45">
      <c r="A33" s="2">
        <v>22</v>
      </c>
      <c r="B33" s="2" t="s">
        <v>74</v>
      </c>
      <c r="C33" s="2"/>
      <c r="D33" s="2"/>
      <c r="E33" s="2" t="s">
        <v>75</v>
      </c>
      <c r="F33" s="2" t="s">
        <v>76</v>
      </c>
      <c r="G33" t="s">
        <v>1166</v>
      </c>
    </row>
    <row r="34" spans="1:7" hidden="1" x14ac:dyDescent="0.45">
      <c r="A34" s="2">
        <v>23</v>
      </c>
      <c r="B34" s="2" t="s">
        <v>77</v>
      </c>
      <c r="C34" s="2"/>
      <c r="D34" s="2"/>
      <c r="E34" s="2" t="s">
        <v>40</v>
      </c>
      <c r="F34" s="2">
        <v>85399</v>
      </c>
      <c r="G34" t="s">
        <v>1166</v>
      </c>
    </row>
    <row r="35" spans="1:7" hidden="1" x14ac:dyDescent="0.45">
      <c r="A35" s="2">
        <v>24</v>
      </c>
      <c r="B35" s="2" t="s">
        <v>79</v>
      </c>
      <c r="C35" s="2"/>
      <c r="D35" s="2"/>
      <c r="E35" s="2" t="s">
        <v>40</v>
      </c>
      <c r="F35" s="2">
        <v>902</v>
      </c>
      <c r="G35" t="s">
        <v>1166</v>
      </c>
    </row>
    <row r="36" spans="1:7" hidden="1" x14ac:dyDescent="0.45">
      <c r="A36" s="2">
        <v>25</v>
      </c>
      <c r="B36" s="2" t="s">
        <v>81</v>
      </c>
      <c r="C36" s="2"/>
      <c r="D36" s="2"/>
      <c r="E36" s="2" t="s">
        <v>40</v>
      </c>
      <c r="F36" s="2">
        <v>901</v>
      </c>
      <c r="G36" t="s">
        <v>1166</v>
      </c>
    </row>
    <row r="37" spans="1:7" hidden="1" x14ac:dyDescent="0.45">
      <c r="A37" s="2">
        <v>26</v>
      </c>
      <c r="B37" s="2" t="s">
        <v>83</v>
      </c>
      <c r="C37" s="2"/>
      <c r="D37" s="2"/>
      <c r="E37" s="2" t="s">
        <v>40</v>
      </c>
      <c r="F37" s="2">
        <v>905</v>
      </c>
      <c r="G37" t="s">
        <v>1166</v>
      </c>
    </row>
    <row r="38" spans="1:7" hidden="1" x14ac:dyDescent="0.45">
      <c r="A38" s="2">
        <v>27</v>
      </c>
      <c r="B38" s="2" t="s">
        <v>85</v>
      </c>
      <c r="C38" s="2"/>
      <c r="D38" s="2"/>
      <c r="E38" s="2" t="s">
        <v>29</v>
      </c>
      <c r="F38" s="2">
        <v>234633</v>
      </c>
      <c r="G38" t="s">
        <v>1166</v>
      </c>
    </row>
    <row r="39" spans="1:7" hidden="1" x14ac:dyDescent="0.45">
      <c r="A39" s="2">
        <v>28</v>
      </c>
      <c r="B39" s="2" t="s">
        <v>91</v>
      </c>
      <c r="C39" s="2"/>
      <c r="D39" s="2"/>
      <c r="E39" s="2" t="s">
        <v>29</v>
      </c>
      <c r="F39" s="2">
        <v>367827</v>
      </c>
      <c r="G39" t="s">
        <v>1166</v>
      </c>
    </row>
    <row r="40" spans="1:7" hidden="1" x14ac:dyDescent="0.45">
      <c r="A40" s="2">
        <v>29</v>
      </c>
      <c r="B40" s="2" t="s">
        <v>93</v>
      </c>
      <c r="C40" s="2"/>
      <c r="D40" s="2"/>
      <c r="E40" s="2" t="s">
        <v>29</v>
      </c>
      <c r="F40" s="2">
        <v>1006213462</v>
      </c>
      <c r="G40" t="s">
        <v>1166</v>
      </c>
    </row>
    <row r="41" spans="1:7" hidden="1" x14ac:dyDescent="0.45">
      <c r="A41" s="2">
        <v>30</v>
      </c>
      <c r="B41" s="2" t="s">
        <v>95</v>
      </c>
      <c r="C41" s="2"/>
      <c r="D41" s="2"/>
      <c r="E41" s="2" t="s">
        <v>29</v>
      </c>
      <c r="F41" s="2">
        <v>459976</v>
      </c>
      <c r="G41" t="s">
        <v>1166</v>
      </c>
    </row>
    <row r="42" spans="1:7" hidden="1" x14ac:dyDescent="0.45">
      <c r="A42" s="2">
        <v>31</v>
      </c>
      <c r="B42" s="2" t="s">
        <v>97</v>
      </c>
      <c r="C42" s="2"/>
      <c r="D42" s="2"/>
      <c r="E42" s="2" t="s">
        <v>29</v>
      </c>
      <c r="F42" s="2">
        <v>161702</v>
      </c>
      <c r="G42" t="s">
        <v>1166</v>
      </c>
    </row>
    <row r="43" spans="1:7" hidden="1" x14ac:dyDescent="0.45">
      <c r="A43" s="2">
        <v>32</v>
      </c>
      <c r="B43" s="2" t="s">
        <v>99</v>
      </c>
      <c r="C43" s="2"/>
      <c r="D43" s="2"/>
      <c r="E43" s="2" t="s">
        <v>101</v>
      </c>
      <c r="F43" s="2" t="s">
        <v>102</v>
      </c>
      <c r="G43" t="s">
        <v>1166</v>
      </c>
    </row>
    <row r="44" spans="1:7" hidden="1" x14ac:dyDescent="0.45">
      <c r="A44" s="2">
        <v>33</v>
      </c>
      <c r="B44" s="2" t="s">
        <v>105</v>
      </c>
      <c r="C44" s="2"/>
      <c r="D44" s="2"/>
      <c r="E44" s="2" t="s">
        <v>101</v>
      </c>
      <c r="F44" s="2" t="s">
        <v>107</v>
      </c>
      <c r="G44" t="s">
        <v>1166</v>
      </c>
    </row>
    <row r="45" spans="1:7" hidden="1" x14ac:dyDescent="0.45">
      <c r="A45" s="2">
        <v>34</v>
      </c>
      <c r="B45" s="2" t="s">
        <v>109</v>
      </c>
      <c r="C45" s="2"/>
      <c r="D45" s="2"/>
      <c r="E45" s="2" t="s">
        <v>101</v>
      </c>
      <c r="F45" s="2" t="s">
        <v>111</v>
      </c>
      <c r="G45" t="s">
        <v>1166</v>
      </c>
    </row>
    <row r="46" spans="1:7" hidden="1" x14ac:dyDescent="0.45">
      <c r="A46" s="2">
        <v>35</v>
      </c>
      <c r="B46" s="2" t="s">
        <v>113</v>
      </c>
      <c r="C46" s="2"/>
      <c r="D46" s="2"/>
      <c r="E46" s="2" t="s">
        <v>29</v>
      </c>
      <c r="F46" s="2">
        <v>459826</v>
      </c>
      <c r="G46" t="s">
        <v>1166</v>
      </c>
    </row>
    <row r="47" spans="1:7" hidden="1" x14ac:dyDescent="0.45">
      <c r="A47" s="2">
        <v>36</v>
      </c>
      <c r="B47" s="2" t="s">
        <v>117</v>
      </c>
      <c r="C47" s="2"/>
      <c r="D47" s="2"/>
      <c r="E47" s="2" t="s">
        <v>29</v>
      </c>
      <c r="F47" s="2">
        <v>482425</v>
      </c>
      <c r="G47" t="s">
        <v>1166</v>
      </c>
    </row>
    <row r="48" spans="1:7" hidden="1" x14ac:dyDescent="0.45">
      <c r="A48" s="2">
        <v>37</v>
      </c>
      <c r="B48" s="2" t="s">
        <v>123</v>
      </c>
      <c r="C48" s="2"/>
      <c r="D48" s="2"/>
      <c r="E48" s="2" t="s">
        <v>29</v>
      </c>
      <c r="F48" s="2">
        <v>307195</v>
      </c>
      <c r="G48" t="s">
        <v>1166</v>
      </c>
    </row>
    <row r="49" spans="1:7" hidden="1" x14ac:dyDescent="0.45">
      <c r="A49" s="2">
        <v>38</v>
      </c>
      <c r="B49" s="2" t="s">
        <v>125</v>
      </c>
      <c r="C49" s="2"/>
      <c r="D49" s="2"/>
      <c r="E49" s="2" t="s">
        <v>29</v>
      </c>
      <c r="F49" s="2" t="s">
        <v>127</v>
      </c>
      <c r="G49" t="s">
        <v>1166</v>
      </c>
    </row>
    <row r="50" spans="1:7" hidden="1" x14ac:dyDescent="0.45">
      <c r="A50" s="2">
        <v>39</v>
      </c>
      <c r="B50" s="2" t="s">
        <v>129</v>
      </c>
      <c r="C50" s="2"/>
      <c r="D50" s="2"/>
      <c r="E50" s="2" t="s">
        <v>101</v>
      </c>
      <c r="F50" s="2" t="s">
        <v>130</v>
      </c>
      <c r="G50" t="s">
        <v>1166</v>
      </c>
    </row>
    <row r="51" spans="1:7" hidden="1" x14ac:dyDescent="0.45">
      <c r="A51" s="2">
        <v>40</v>
      </c>
      <c r="B51" s="2" t="s">
        <v>131</v>
      </c>
      <c r="C51" s="2"/>
      <c r="D51" s="2"/>
      <c r="E51" s="2" t="s">
        <v>29</v>
      </c>
      <c r="F51" s="2">
        <v>296167</v>
      </c>
      <c r="G51" t="s">
        <v>1166</v>
      </c>
    </row>
    <row r="52" spans="1:7" hidden="1" x14ac:dyDescent="0.45">
      <c r="A52" s="2">
        <v>41</v>
      </c>
      <c r="B52" s="2" t="s">
        <v>133</v>
      </c>
      <c r="C52" s="2"/>
      <c r="D52" s="2"/>
      <c r="E52" s="2" t="s">
        <v>40</v>
      </c>
      <c r="F52" s="2" t="s">
        <v>136</v>
      </c>
      <c r="G52" t="s">
        <v>1166</v>
      </c>
    </row>
    <row r="53" spans="1:7" hidden="1" x14ac:dyDescent="0.45">
      <c r="A53" s="2">
        <v>42</v>
      </c>
      <c r="B53" s="2" t="s">
        <v>137</v>
      </c>
      <c r="C53" s="2"/>
      <c r="D53" s="2"/>
      <c r="E53" s="2" t="s">
        <v>40</v>
      </c>
      <c r="F53" s="2" t="s">
        <v>138</v>
      </c>
      <c r="G53" t="s">
        <v>1166</v>
      </c>
    </row>
    <row r="54" spans="1:7" hidden="1" x14ac:dyDescent="0.45">
      <c r="A54" s="2">
        <v>43</v>
      </c>
      <c r="B54" s="2" t="s">
        <v>140</v>
      </c>
      <c r="C54" s="2"/>
      <c r="D54" s="2"/>
      <c r="E54" s="2" t="s">
        <v>40</v>
      </c>
      <c r="F54" s="2" t="s">
        <v>141</v>
      </c>
      <c r="G54" t="s">
        <v>1166</v>
      </c>
    </row>
    <row r="55" spans="1:7" hidden="1" x14ac:dyDescent="0.45">
      <c r="A55" s="2">
        <v>44</v>
      </c>
      <c r="B55" s="2" t="s">
        <v>142</v>
      </c>
      <c r="C55" s="2"/>
      <c r="D55" s="2"/>
      <c r="E55" s="2" t="s">
        <v>40</v>
      </c>
      <c r="F55" s="2" t="s">
        <v>143</v>
      </c>
      <c r="G55" t="s">
        <v>1166</v>
      </c>
    </row>
    <row r="56" spans="1:7" hidden="1" x14ac:dyDescent="0.45">
      <c r="A56" s="2">
        <v>45</v>
      </c>
      <c r="B56" s="2" t="s">
        <v>144</v>
      </c>
      <c r="C56" s="2"/>
      <c r="D56" s="2"/>
      <c r="E56" s="2" t="s">
        <v>40</v>
      </c>
      <c r="F56" s="2" t="s">
        <v>146</v>
      </c>
      <c r="G56" t="s">
        <v>1166</v>
      </c>
    </row>
    <row r="57" spans="1:7" hidden="1" x14ac:dyDescent="0.45">
      <c r="A57" s="2">
        <v>46</v>
      </c>
      <c r="B57" s="2" t="s">
        <v>148</v>
      </c>
      <c r="C57" s="2"/>
      <c r="D57" s="2"/>
      <c r="E57" s="2" t="s">
        <v>40</v>
      </c>
      <c r="F57" s="2" t="s">
        <v>149</v>
      </c>
      <c r="G57" t="s">
        <v>1166</v>
      </c>
    </row>
    <row r="58" spans="1:7" hidden="1" x14ac:dyDescent="0.45">
      <c r="A58" s="2">
        <v>47</v>
      </c>
      <c r="B58" s="2" t="s">
        <v>150</v>
      </c>
      <c r="C58" s="2"/>
      <c r="D58" s="2"/>
      <c r="E58" s="2" t="s">
        <v>40</v>
      </c>
      <c r="F58" s="2" t="s">
        <v>152</v>
      </c>
      <c r="G58" t="s">
        <v>1166</v>
      </c>
    </row>
    <row r="59" spans="1:7" hidden="1" x14ac:dyDescent="0.45">
      <c r="A59" s="2">
        <v>48</v>
      </c>
      <c r="B59" s="2" t="s">
        <v>153</v>
      </c>
      <c r="C59" s="2"/>
      <c r="D59" s="2"/>
      <c r="E59" s="2" t="s">
        <v>40</v>
      </c>
      <c r="F59" s="2" t="s">
        <v>154</v>
      </c>
      <c r="G59" t="s">
        <v>1166</v>
      </c>
    </row>
    <row r="60" spans="1:7" hidden="1" x14ac:dyDescent="0.45">
      <c r="A60" s="2">
        <v>49</v>
      </c>
      <c r="B60" s="2" t="s">
        <v>155</v>
      </c>
      <c r="C60" s="2"/>
      <c r="D60" s="2"/>
      <c r="E60" s="2" t="s">
        <v>40</v>
      </c>
      <c r="F60" s="2" t="s">
        <v>156</v>
      </c>
      <c r="G60" t="s">
        <v>1166</v>
      </c>
    </row>
    <row r="61" spans="1:7" hidden="1" x14ac:dyDescent="0.45">
      <c r="A61" s="2">
        <v>50</v>
      </c>
      <c r="B61" s="2" t="s">
        <v>157</v>
      </c>
      <c r="C61" s="2"/>
      <c r="D61" s="2"/>
      <c r="E61" s="2" t="s">
        <v>40</v>
      </c>
      <c r="F61" s="2" t="s">
        <v>158</v>
      </c>
      <c r="G61" t="s">
        <v>1166</v>
      </c>
    </row>
    <row r="62" spans="1:7" hidden="1" x14ac:dyDescent="0.45">
      <c r="A62" s="2">
        <v>51</v>
      </c>
      <c r="B62" s="2" t="s">
        <v>159</v>
      </c>
      <c r="C62" s="2"/>
      <c r="D62" s="2"/>
      <c r="E62" s="2" t="s">
        <v>40</v>
      </c>
      <c r="F62" s="2" t="s">
        <v>161</v>
      </c>
      <c r="G62" t="s">
        <v>1166</v>
      </c>
    </row>
    <row r="63" spans="1:7" hidden="1" x14ac:dyDescent="0.45">
      <c r="A63" s="2">
        <v>52</v>
      </c>
      <c r="B63" s="2" t="s">
        <v>162</v>
      </c>
      <c r="C63" s="2"/>
      <c r="D63" s="2"/>
      <c r="E63" s="2" t="s">
        <v>40</v>
      </c>
      <c r="F63" s="2" t="s">
        <v>163</v>
      </c>
      <c r="G63" t="s">
        <v>1166</v>
      </c>
    </row>
    <row r="64" spans="1:7" hidden="1" x14ac:dyDescent="0.45">
      <c r="A64" s="2">
        <v>53</v>
      </c>
      <c r="B64" s="2" t="s">
        <v>164</v>
      </c>
      <c r="C64" s="2"/>
      <c r="D64" s="2"/>
      <c r="E64" s="2" t="s">
        <v>40</v>
      </c>
      <c r="F64" s="2" t="s">
        <v>165</v>
      </c>
      <c r="G64" t="s">
        <v>1166</v>
      </c>
    </row>
    <row r="65" spans="1:7" hidden="1" x14ac:dyDescent="0.45">
      <c r="A65" s="2">
        <v>54</v>
      </c>
      <c r="B65" s="2" t="s">
        <v>166</v>
      </c>
      <c r="C65" s="2"/>
      <c r="D65" s="2"/>
      <c r="E65" s="2" t="s">
        <v>40</v>
      </c>
      <c r="F65" s="2" t="s">
        <v>167</v>
      </c>
      <c r="G65" t="s">
        <v>1166</v>
      </c>
    </row>
    <row r="66" spans="1:7" hidden="1" x14ac:dyDescent="0.45">
      <c r="A66" s="2">
        <v>55</v>
      </c>
      <c r="B66" s="2" t="s">
        <v>168</v>
      </c>
      <c r="C66" s="2"/>
      <c r="D66" s="2"/>
      <c r="E66" s="2" t="s">
        <v>40</v>
      </c>
      <c r="F66" s="2" t="s">
        <v>169</v>
      </c>
      <c r="G66" t="s">
        <v>1166</v>
      </c>
    </row>
    <row r="67" spans="1:7" hidden="1" x14ac:dyDescent="0.45">
      <c r="A67" s="2">
        <v>56</v>
      </c>
      <c r="B67" s="2" t="s">
        <v>170</v>
      </c>
      <c r="C67" s="2"/>
      <c r="D67" s="2"/>
      <c r="E67" s="2" t="s">
        <v>40</v>
      </c>
      <c r="F67" s="2" t="s">
        <v>171</v>
      </c>
      <c r="G67" t="s">
        <v>1166</v>
      </c>
    </row>
    <row r="68" spans="1:7" hidden="1" x14ac:dyDescent="0.45">
      <c r="A68" s="2">
        <v>57</v>
      </c>
      <c r="B68" s="2" t="s">
        <v>172</v>
      </c>
      <c r="C68" s="2"/>
      <c r="D68" s="2"/>
      <c r="E68" s="2" t="s">
        <v>40</v>
      </c>
      <c r="F68" s="2" t="s">
        <v>173</v>
      </c>
      <c r="G68" t="s">
        <v>1166</v>
      </c>
    </row>
    <row r="69" spans="1:7" hidden="1" x14ac:dyDescent="0.45">
      <c r="A69" s="2">
        <v>58</v>
      </c>
      <c r="B69" s="2" t="s">
        <v>174</v>
      </c>
      <c r="C69" s="2"/>
      <c r="D69" s="2"/>
      <c r="E69" s="2" t="s">
        <v>40</v>
      </c>
      <c r="F69" s="2" t="s">
        <v>175</v>
      </c>
      <c r="G69" t="s">
        <v>1166</v>
      </c>
    </row>
    <row r="70" spans="1:7" hidden="1" x14ac:dyDescent="0.45">
      <c r="A70" s="2">
        <v>59</v>
      </c>
      <c r="B70" s="2" t="s">
        <v>176</v>
      </c>
      <c r="C70" s="2"/>
      <c r="D70" s="2"/>
      <c r="E70" s="2" t="s">
        <v>40</v>
      </c>
      <c r="F70" s="2" t="s">
        <v>177</v>
      </c>
      <c r="G70" t="s">
        <v>1166</v>
      </c>
    </row>
    <row r="71" spans="1:7" hidden="1" x14ac:dyDescent="0.45">
      <c r="A71" s="2">
        <v>60</v>
      </c>
      <c r="B71" s="2" t="s">
        <v>178</v>
      </c>
      <c r="C71" s="2"/>
      <c r="D71" s="2"/>
      <c r="E71" s="2" t="s">
        <v>40</v>
      </c>
      <c r="F71" s="2" t="s">
        <v>179</v>
      </c>
      <c r="G71" t="s">
        <v>1166</v>
      </c>
    </row>
    <row r="72" spans="1:7" hidden="1" x14ac:dyDescent="0.45">
      <c r="A72" s="2">
        <v>61</v>
      </c>
      <c r="B72" s="2" t="s">
        <v>180</v>
      </c>
      <c r="C72" s="2"/>
      <c r="D72" s="2"/>
      <c r="E72" s="2" t="s">
        <v>40</v>
      </c>
      <c r="F72" s="2" t="s">
        <v>181</v>
      </c>
      <c r="G72" t="s">
        <v>1166</v>
      </c>
    </row>
    <row r="73" spans="1:7" hidden="1" x14ac:dyDescent="0.45">
      <c r="A73" s="2">
        <v>62</v>
      </c>
      <c r="B73" s="2" t="s">
        <v>182</v>
      </c>
      <c r="C73" s="2"/>
      <c r="D73" s="2"/>
      <c r="E73" s="2" t="s">
        <v>40</v>
      </c>
      <c r="F73" s="2" t="s">
        <v>184</v>
      </c>
      <c r="G73" t="s">
        <v>1166</v>
      </c>
    </row>
    <row r="74" spans="1:7" hidden="1" x14ac:dyDescent="0.45">
      <c r="A74" s="2">
        <v>63</v>
      </c>
      <c r="B74" s="2" t="s">
        <v>185</v>
      </c>
      <c r="C74" s="2"/>
      <c r="D74" s="2"/>
      <c r="E74" s="2" t="s">
        <v>40</v>
      </c>
      <c r="F74" s="2" t="s">
        <v>186</v>
      </c>
      <c r="G74" t="s">
        <v>1166</v>
      </c>
    </row>
    <row r="75" spans="1:7" hidden="1" x14ac:dyDescent="0.45">
      <c r="A75" s="2">
        <v>64</v>
      </c>
      <c r="B75" s="2" t="s">
        <v>187</v>
      </c>
      <c r="C75" s="2"/>
      <c r="D75" s="2"/>
      <c r="E75" s="2" t="s">
        <v>40</v>
      </c>
      <c r="F75" s="2">
        <v>50170</v>
      </c>
      <c r="G75" t="s">
        <v>1166</v>
      </c>
    </row>
    <row r="76" spans="1:7" hidden="1" x14ac:dyDescent="0.45">
      <c r="A76" s="2">
        <v>65</v>
      </c>
      <c r="B76" s="2" t="s">
        <v>188</v>
      </c>
      <c r="C76" s="2"/>
      <c r="D76" s="2"/>
      <c r="E76" s="2" t="s">
        <v>40</v>
      </c>
      <c r="F76" s="2">
        <v>50024</v>
      </c>
      <c r="G76" t="s">
        <v>1166</v>
      </c>
    </row>
    <row r="77" spans="1:7" hidden="1" x14ac:dyDescent="0.45">
      <c r="A77" s="2">
        <v>66</v>
      </c>
      <c r="B77" s="2" t="s">
        <v>189</v>
      </c>
      <c r="C77" s="2"/>
      <c r="D77" s="2"/>
      <c r="E77" s="2" t="s">
        <v>40</v>
      </c>
      <c r="F77" s="2" t="s">
        <v>190</v>
      </c>
      <c r="G77" t="s">
        <v>1166</v>
      </c>
    </row>
    <row r="78" spans="1:7" hidden="1" x14ac:dyDescent="0.45">
      <c r="A78" s="2">
        <v>67</v>
      </c>
      <c r="B78" s="2" t="s">
        <v>191</v>
      </c>
      <c r="C78" s="2"/>
      <c r="D78" s="2"/>
      <c r="E78" s="2" t="s">
        <v>40</v>
      </c>
      <c r="F78" s="2" t="s">
        <v>193</v>
      </c>
      <c r="G78" t="s">
        <v>1166</v>
      </c>
    </row>
    <row r="79" spans="1:7" hidden="1" x14ac:dyDescent="0.45">
      <c r="A79" s="2">
        <v>68</v>
      </c>
      <c r="B79" s="2" t="s">
        <v>194</v>
      </c>
      <c r="C79" s="2"/>
      <c r="D79" s="2"/>
      <c r="E79" s="2" t="s">
        <v>40</v>
      </c>
      <c r="F79" s="2" t="s">
        <v>195</v>
      </c>
      <c r="G79" t="s">
        <v>1166</v>
      </c>
    </row>
    <row r="80" spans="1:7" hidden="1" x14ac:dyDescent="0.45">
      <c r="A80" s="2">
        <v>69</v>
      </c>
      <c r="B80" s="2" t="s">
        <v>196</v>
      </c>
      <c r="C80" s="2"/>
      <c r="D80" s="2"/>
      <c r="E80" s="2" t="s">
        <v>40</v>
      </c>
      <c r="F80" s="2" t="s">
        <v>197</v>
      </c>
      <c r="G80" t="s">
        <v>1166</v>
      </c>
    </row>
    <row r="81" spans="1:7" hidden="1" x14ac:dyDescent="0.45">
      <c r="A81" s="2">
        <v>70</v>
      </c>
      <c r="B81" s="2" t="s">
        <v>198</v>
      </c>
      <c r="C81" s="2"/>
      <c r="D81" s="2"/>
      <c r="E81" s="2" t="s">
        <v>40</v>
      </c>
      <c r="F81" s="2" t="s">
        <v>199</v>
      </c>
      <c r="G81" t="s">
        <v>1166</v>
      </c>
    </row>
    <row r="82" spans="1:7" hidden="1" x14ac:dyDescent="0.45">
      <c r="A82" s="2">
        <v>71</v>
      </c>
      <c r="B82" s="2" t="s">
        <v>200</v>
      </c>
      <c r="C82" s="2"/>
      <c r="D82" s="2"/>
      <c r="E82" s="2" t="s">
        <v>29</v>
      </c>
      <c r="F82" s="2">
        <v>536555</v>
      </c>
      <c r="G82" t="s">
        <v>1166</v>
      </c>
    </row>
    <row r="83" spans="1:7" hidden="1" x14ac:dyDescent="0.45">
      <c r="A83" s="2">
        <v>72</v>
      </c>
      <c r="B83" s="2" t="s">
        <v>202</v>
      </c>
      <c r="C83" s="2"/>
      <c r="D83" s="2"/>
      <c r="E83" s="2" t="s">
        <v>40</v>
      </c>
      <c r="F83" s="2" t="s">
        <v>203</v>
      </c>
      <c r="G83" t="s">
        <v>1166</v>
      </c>
    </row>
    <row r="84" spans="1:7" hidden="1" x14ac:dyDescent="0.45">
      <c r="A84" s="2">
        <v>73</v>
      </c>
      <c r="B84" s="2" t="s">
        <v>204</v>
      </c>
      <c r="C84" s="2"/>
      <c r="D84" s="2"/>
      <c r="E84" s="2" t="s">
        <v>40</v>
      </c>
      <c r="F84" s="2" t="s">
        <v>205</v>
      </c>
      <c r="G84" t="s">
        <v>1166</v>
      </c>
    </row>
    <row r="85" spans="1:7" hidden="1" x14ac:dyDescent="0.45">
      <c r="A85" s="2">
        <v>74</v>
      </c>
      <c r="B85" s="2" t="s">
        <v>206</v>
      </c>
      <c r="C85" s="2"/>
      <c r="D85" s="2"/>
      <c r="E85" s="2" t="s">
        <v>40</v>
      </c>
      <c r="F85" s="2" t="s">
        <v>207</v>
      </c>
      <c r="G85" t="s">
        <v>1166</v>
      </c>
    </row>
    <row r="86" spans="1:7" hidden="1" x14ac:dyDescent="0.45">
      <c r="A86" s="2">
        <v>75</v>
      </c>
      <c r="B86" s="2" t="s">
        <v>208</v>
      </c>
      <c r="C86" s="2"/>
      <c r="D86" s="2"/>
      <c r="E86" s="2" t="s">
        <v>40</v>
      </c>
      <c r="F86" s="2" t="s">
        <v>209</v>
      </c>
      <c r="G86" t="s">
        <v>1166</v>
      </c>
    </row>
    <row r="87" spans="1:7" hidden="1" x14ac:dyDescent="0.45">
      <c r="A87" s="2">
        <v>76</v>
      </c>
      <c r="B87" s="2" t="s">
        <v>210</v>
      </c>
      <c r="C87" s="2"/>
      <c r="D87" s="2"/>
      <c r="E87" s="2" t="s">
        <v>40</v>
      </c>
      <c r="F87" s="2" t="s">
        <v>211</v>
      </c>
      <c r="G87" t="s">
        <v>1166</v>
      </c>
    </row>
    <row r="88" spans="1:7" hidden="1" x14ac:dyDescent="0.45">
      <c r="A88" s="2">
        <v>77</v>
      </c>
      <c r="B88" s="2" t="s">
        <v>212</v>
      </c>
      <c r="C88" s="2"/>
      <c r="D88" s="2"/>
      <c r="E88" s="2" t="s">
        <v>40</v>
      </c>
      <c r="F88" s="2" t="s">
        <v>213</v>
      </c>
      <c r="G88" t="s">
        <v>1166</v>
      </c>
    </row>
    <row r="89" spans="1:7" hidden="1" x14ac:dyDescent="0.45">
      <c r="A89" s="2">
        <v>78</v>
      </c>
      <c r="B89" s="2" t="s">
        <v>214</v>
      </c>
      <c r="C89" s="2"/>
      <c r="D89" s="2"/>
      <c r="E89" s="2" t="s">
        <v>40</v>
      </c>
      <c r="F89" s="2">
        <v>24985</v>
      </c>
      <c r="G89" t="s">
        <v>1166</v>
      </c>
    </row>
    <row r="90" spans="1:7" hidden="1" x14ac:dyDescent="0.45">
      <c r="A90" s="2">
        <v>79</v>
      </c>
      <c r="B90" s="2" t="s">
        <v>216</v>
      </c>
      <c r="C90" s="2"/>
      <c r="D90" s="2"/>
      <c r="E90" s="2" t="s">
        <v>40</v>
      </c>
      <c r="F90" s="2" t="s">
        <v>218</v>
      </c>
      <c r="G90" t="s">
        <v>1166</v>
      </c>
    </row>
    <row r="91" spans="1:7" hidden="1" x14ac:dyDescent="0.45">
      <c r="A91" s="2">
        <v>80</v>
      </c>
      <c r="B91" s="2" t="s">
        <v>219</v>
      </c>
      <c r="C91" s="2"/>
      <c r="D91" s="2"/>
      <c r="E91" s="2" t="s">
        <v>40</v>
      </c>
      <c r="F91" s="2" t="s">
        <v>220</v>
      </c>
      <c r="G91" t="s">
        <v>1166</v>
      </c>
    </row>
    <row r="92" spans="1:7" hidden="1" x14ac:dyDescent="0.45">
      <c r="A92" s="2">
        <v>81</v>
      </c>
      <c r="B92" s="2" t="s">
        <v>221</v>
      </c>
      <c r="C92" s="2"/>
      <c r="D92" s="2"/>
      <c r="E92" s="2" t="s">
        <v>40</v>
      </c>
      <c r="F92" s="2" t="s">
        <v>222</v>
      </c>
      <c r="G92" t="s">
        <v>1166</v>
      </c>
    </row>
    <row r="93" spans="1:7" hidden="1" x14ac:dyDescent="0.45">
      <c r="A93" s="2">
        <v>82</v>
      </c>
      <c r="B93" s="2" t="s">
        <v>223</v>
      </c>
      <c r="C93" s="2"/>
      <c r="D93" s="2"/>
      <c r="E93" s="2" t="s">
        <v>40</v>
      </c>
      <c r="F93" s="2" t="s">
        <v>224</v>
      </c>
      <c r="G93" t="s">
        <v>1166</v>
      </c>
    </row>
    <row r="94" spans="1:7" hidden="1" x14ac:dyDescent="0.45">
      <c r="A94" s="2">
        <v>83</v>
      </c>
      <c r="B94" s="2" t="s">
        <v>225</v>
      </c>
      <c r="C94" s="2"/>
      <c r="D94" s="2"/>
      <c r="E94" s="2" t="s">
        <v>40</v>
      </c>
      <c r="F94" s="2" t="s">
        <v>226</v>
      </c>
      <c r="G94" t="s">
        <v>1166</v>
      </c>
    </row>
    <row r="95" spans="1:7" hidden="1" x14ac:dyDescent="0.45">
      <c r="A95" s="2">
        <v>84</v>
      </c>
      <c r="B95" s="2" t="s">
        <v>227</v>
      </c>
      <c r="C95" s="2"/>
      <c r="D95" s="2"/>
      <c r="E95" s="2" t="s">
        <v>40</v>
      </c>
      <c r="F95" s="2" t="s">
        <v>228</v>
      </c>
      <c r="G95" t="s">
        <v>1166</v>
      </c>
    </row>
    <row r="96" spans="1:7" hidden="1" x14ac:dyDescent="0.45">
      <c r="A96" s="2">
        <v>85</v>
      </c>
      <c r="B96" s="2" t="s">
        <v>229</v>
      </c>
      <c r="C96" s="2"/>
      <c r="D96" s="2"/>
      <c r="E96" s="2" t="s">
        <v>40</v>
      </c>
      <c r="F96" s="2" t="s">
        <v>230</v>
      </c>
      <c r="G96" t="s">
        <v>1166</v>
      </c>
    </row>
    <row r="97" spans="1:7" hidden="1" x14ac:dyDescent="0.45">
      <c r="A97" s="2">
        <v>86</v>
      </c>
      <c r="B97" s="2" t="s">
        <v>231</v>
      </c>
      <c r="C97" s="2"/>
      <c r="D97" s="2"/>
      <c r="E97" s="2" t="s">
        <v>40</v>
      </c>
      <c r="F97" s="2" t="s">
        <v>232</v>
      </c>
      <c r="G97" t="s">
        <v>1166</v>
      </c>
    </row>
    <row r="98" spans="1:7" hidden="1" x14ac:dyDescent="0.45">
      <c r="A98" s="2">
        <v>87</v>
      </c>
      <c r="B98" s="2" t="s">
        <v>233</v>
      </c>
      <c r="C98" s="2"/>
      <c r="D98" s="2"/>
      <c r="E98" s="2" t="s">
        <v>29</v>
      </c>
      <c r="F98" s="2">
        <v>1002217597</v>
      </c>
      <c r="G98" t="s">
        <v>1166</v>
      </c>
    </row>
    <row r="99" spans="1:7" hidden="1" x14ac:dyDescent="0.45">
      <c r="A99" s="2">
        <v>88</v>
      </c>
      <c r="B99" s="2" t="s">
        <v>234</v>
      </c>
      <c r="C99" s="2"/>
      <c r="D99" s="2"/>
      <c r="E99" s="2" t="s">
        <v>40</v>
      </c>
      <c r="F99" s="2" t="s">
        <v>235</v>
      </c>
      <c r="G99" t="s">
        <v>1166</v>
      </c>
    </row>
    <row r="100" spans="1:7" hidden="1" x14ac:dyDescent="0.45">
      <c r="A100" s="2">
        <v>89</v>
      </c>
      <c r="B100" s="2" t="s">
        <v>236</v>
      </c>
      <c r="C100" s="2"/>
      <c r="D100" s="2"/>
      <c r="E100" s="2" t="s">
        <v>40</v>
      </c>
      <c r="F100" s="2" t="s">
        <v>237</v>
      </c>
      <c r="G100" t="s">
        <v>1166</v>
      </c>
    </row>
    <row r="101" spans="1:7" hidden="1" x14ac:dyDescent="0.45">
      <c r="A101" s="2">
        <v>90</v>
      </c>
      <c r="B101" s="2" t="s">
        <v>238</v>
      </c>
      <c r="C101" s="2"/>
      <c r="D101" s="2"/>
      <c r="E101" s="2" t="s">
        <v>29</v>
      </c>
      <c r="F101" s="2">
        <v>1005695140</v>
      </c>
      <c r="G101" t="s">
        <v>1166</v>
      </c>
    </row>
    <row r="102" spans="1:7" hidden="1" x14ac:dyDescent="0.45">
      <c r="A102" s="2">
        <v>91</v>
      </c>
      <c r="B102" s="2" t="s">
        <v>240</v>
      </c>
      <c r="C102" s="2"/>
      <c r="D102" s="2"/>
      <c r="E102" s="2" t="s">
        <v>40</v>
      </c>
      <c r="F102" s="2" t="s">
        <v>241</v>
      </c>
      <c r="G102" t="s">
        <v>1166</v>
      </c>
    </row>
    <row r="103" spans="1:7" hidden="1" x14ac:dyDescent="0.45">
      <c r="A103" s="2">
        <v>92</v>
      </c>
      <c r="B103" s="2" t="s">
        <v>242</v>
      </c>
      <c r="C103" s="2"/>
      <c r="D103" s="2"/>
      <c r="E103" s="2" t="s">
        <v>40</v>
      </c>
      <c r="F103" s="2" t="s">
        <v>243</v>
      </c>
      <c r="G103" t="s">
        <v>1166</v>
      </c>
    </row>
    <row r="104" spans="1:7" hidden="1" x14ac:dyDescent="0.45">
      <c r="A104" s="2">
        <v>93</v>
      </c>
      <c r="B104" s="2" t="s">
        <v>244</v>
      </c>
      <c r="C104" s="2"/>
      <c r="D104" s="2"/>
      <c r="E104" s="2" t="s">
        <v>29</v>
      </c>
      <c r="F104" s="2">
        <v>1006959446</v>
      </c>
      <c r="G104" t="s">
        <v>1166</v>
      </c>
    </row>
    <row r="105" spans="1:7" x14ac:dyDescent="0.45">
      <c r="A105" s="2">
        <v>94</v>
      </c>
      <c r="B105" s="2" t="s">
        <v>245</v>
      </c>
      <c r="C105" s="2"/>
      <c r="D105" s="2"/>
      <c r="E105" s="2" t="s">
        <v>29</v>
      </c>
      <c r="F105" s="2" t="s">
        <v>247</v>
      </c>
      <c r="G105" t="s">
        <v>1167</v>
      </c>
    </row>
    <row r="106" spans="1:7" hidden="1" x14ac:dyDescent="0.45">
      <c r="A106" s="2">
        <v>95</v>
      </c>
      <c r="B106" s="2" t="s">
        <v>248</v>
      </c>
      <c r="C106" s="2"/>
      <c r="D106" s="2"/>
      <c r="E106" s="2" t="s">
        <v>249</v>
      </c>
      <c r="F106" s="2">
        <v>532</v>
      </c>
      <c r="G106" t="s">
        <v>1166</v>
      </c>
    </row>
    <row r="107" spans="1:7" hidden="1" x14ac:dyDescent="0.45">
      <c r="A107" s="2">
        <v>96</v>
      </c>
      <c r="B107" s="2" t="s">
        <v>250</v>
      </c>
      <c r="C107" s="2"/>
      <c r="D107" s="2"/>
      <c r="E107" s="2" t="s">
        <v>40</v>
      </c>
      <c r="F107" s="2" t="s">
        <v>252</v>
      </c>
      <c r="G107" t="s">
        <v>1166</v>
      </c>
    </row>
    <row r="108" spans="1:7" hidden="1" x14ac:dyDescent="0.45">
      <c r="A108" s="2">
        <v>97</v>
      </c>
      <c r="B108" s="2" t="s">
        <v>253</v>
      </c>
      <c r="C108" s="2"/>
      <c r="D108" s="2"/>
      <c r="E108" s="2" t="s">
        <v>40</v>
      </c>
      <c r="F108" s="2" t="s">
        <v>255</v>
      </c>
      <c r="G108" t="s">
        <v>1166</v>
      </c>
    </row>
    <row r="109" spans="1:7" hidden="1" x14ac:dyDescent="0.45">
      <c r="A109" s="2">
        <v>98</v>
      </c>
      <c r="B109" s="2" t="s">
        <v>256</v>
      </c>
      <c r="C109" s="2"/>
      <c r="D109" s="2"/>
      <c r="E109" s="2" t="s">
        <v>29</v>
      </c>
      <c r="F109" s="2">
        <v>1005812473</v>
      </c>
      <c r="G109" t="s">
        <v>1166</v>
      </c>
    </row>
    <row r="110" spans="1:7" hidden="1" x14ac:dyDescent="0.45">
      <c r="A110" s="2">
        <v>99</v>
      </c>
      <c r="B110" s="2" t="s">
        <v>260</v>
      </c>
      <c r="C110" s="2"/>
      <c r="D110" s="2"/>
      <c r="E110" s="2" t="s">
        <v>29</v>
      </c>
      <c r="F110" s="2">
        <v>1000010438</v>
      </c>
      <c r="G110" t="s">
        <v>1166</v>
      </c>
    </row>
    <row r="111" spans="1:7" hidden="1" x14ac:dyDescent="0.45">
      <c r="A111" s="2">
        <v>100</v>
      </c>
      <c r="B111" s="2" t="s">
        <v>261</v>
      </c>
      <c r="C111" s="2"/>
      <c r="D111" s="2"/>
      <c r="E111" s="2" t="s">
        <v>29</v>
      </c>
      <c r="F111" s="2">
        <v>1000040984</v>
      </c>
      <c r="G111" t="s">
        <v>1166</v>
      </c>
    </row>
    <row r="112" spans="1:7" hidden="1" x14ac:dyDescent="0.45">
      <c r="A112" s="2">
        <v>101</v>
      </c>
      <c r="B112" s="2" t="s">
        <v>263</v>
      </c>
      <c r="C112" s="2"/>
      <c r="D112" s="2"/>
      <c r="E112" s="2" t="s">
        <v>265</v>
      </c>
      <c r="F112" s="2">
        <v>402569</v>
      </c>
      <c r="G112" t="s">
        <v>1166</v>
      </c>
    </row>
    <row r="113" spans="1:7" hidden="1" x14ac:dyDescent="0.45">
      <c r="A113" s="2">
        <v>102</v>
      </c>
      <c r="B113" s="2" t="s">
        <v>266</v>
      </c>
      <c r="C113" s="2"/>
      <c r="D113" s="2"/>
      <c r="E113" s="2" t="s">
        <v>29</v>
      </c>
      <c r="F113" s="2" t="s">
        <v>268</v>
      </c>
      <c r="G113" t="s">
        <v>1166</v>
      </c>
    </row>
    <row r="114" spans="1:7" hidden="1" x14ac:dyDescent="0.45">
      <c r="A114" s="2">
        <v>103</v>
      </c>
      <c r="B114" s="2" t="s">
        <v>269</v>
      </c>
      <c r="C114" s="2"/>
      <c r="D114" s="2"/>
      <c r="E114" s="2" t="s">
        <v>29</v>
      </c>
      <c r="F114" s="2" t="s">
        <v>270</v>
      </c>
      <c r="G114" t="s">
        <v>1166</v>
      </c>
    </row>
    <row r="115" spans="1:7" hidden="1" x14ac:dyDescent="0.45">
      <c r="A115" s="2">
        <v>104</v>
      </c>
      <c r="B115" s="2" t="s">
        <v>271</v>
      </c>
      <c r="C115" s="2"/>
      <c r="D115" s="2"/>
      <c r="E115" s="2" t="s">
        <v>29</v>
      </c>
      <c r="F115" s="2" t="s">
        <v>273</v>
      </c>
      <c r="G115" t="s">
        <v>1166</v>
      </c>
    </row>
    <row r="116" spans="1:7" hidden="1" x14ac:dyDescent="0.45">
      <c r="A116" s="2">
        <v>105</v>
      </c>
      <c r="B116" s="2" t="s">
        <v>274</v>
      </c>
      <c r="C116" s="2"/>
      <c r="D116" s="2"/>
      <c r="E116" s="2" t="s">
        <v>29</v>
      </c>
      <c r="F116" s="2" t="s">
        <v>275</v>
      </c>
      <c r="G116" t="s">
        <v>1166</v>
      </c>
    </row>
    <row r="117" spans="1:7" hidden="1" x14ac:dyDescent="0.45">
      <c r="A117" s="2">
        <v>106</v>
      </c>
      <c r="B117" s="2" t="s">
        <v>276</v>
      </c>
      <c r="C117" s="2"/>
      <c r="D117" s="2"/>
      <c r="E117" s="2" t="s">
        <v>29</v>
      </c>
      <c r="F117" s="2" t="s">
        <v>279</v>
      </c>
      <c r="G117" t="s">
        <v>1166</v>
      </c>
    </row>
    <row r="118" spans="1:7" hidden="1" x14ac:dyDescent="0.45">
      <c r="A118" s="2">
        <v>107</v>
      </c>
      <c r="B118" s="2" t="s">
        <v>280</v>
      </c>
      <c r="C118" s="2"/>
      <c r="D118" s="2"/>
      <c r="E118" s="2" t="s">
        <v>29</v>
      </c>
      <c r="F118" s="2">
        <v>1001879523</v>
      </c>
      <c r="G118" t="s">
        <v>1166</v>
      </c>
    </row>
    <row r="119" spans="1:7" hidden="1" x14ac:dyDescent="0.45">
      <c r="A119" s="2">
        <v>108</v>
      </c>
      <c r="B119" s="2" t="s">
        <v>282</v>
      </c>
      <c r="C119" s="2"/>
      <c r="D119" s="2"/>
      <c r="E119" s="2" t="s">
        <v>29</v>
      </c>
      <c r="F119" s="2">
        <v>267000</v>
      </c>
      <c r="G119" t="s">
        <v>1166</v>
      </c>
    </row>
    <row r="120" spans="1:7" hidden="1" x14ac:dyDescent="0.45">
      <c r="A120" s="2">
        <v>109</v>
      </c>
      <c r="B120" s="2" t="s">
        <v>285</v>
      </c>
      <c r="C120" s="2"/>
      <c r="D120" s="2"/>
      <c r="E120" s="2" t="s">
        <v>287</v>
      </c>
      <c r="F120" s="2" t="s">
        <v>288</v>
      </c>
      <c r="G120" t="s">
        <v>1166</v>
      </c>
    </row>
    <row r="121" spans="1:7" hidden="1" x14ac:dyDescent="0.45">
      <c r="A121" s="2">
        <v>110</v>
      </c>
      <c r="B121" s="2" t="s">
        <v>289</v>
      </c>
      <c r="C121" s="2"/>
      <c r="D121" s="2"/>
      <c r="E121" s="2" t="s">
        <v>29</v>
      </c>
      <c r="F121" s="2">
        <v>805513</v>
      </c>
      <c r="G121" t="s">
        <v>1166</v>
      </c>
    </row>
    <row r="122" spans="1:7" hidden="1" x14ac:dyDescent="0.45">
      <c r="A122" s="2">
        <v>111</v>
      </c>
      <c r="B122" s="2" t="s">
        <v>291</v>
      </c>
      <c r="C122" s="2"/>
      <c r="D122" s="2"/>
      <c r="E122" s="2" t="s">
        <v>29</v>
      </c>
      <c r="F122" s="2">
        <v>313008958</v>
      </c>
      <c r="G122" t="s">
        <v>1166</v>
      </c>
    </row>
    <row r="123" spans="1:7" hidden="1" x14ac:dyDescent="0.45">
      <c r="A123" s="2">
        <v>112</v>
      </c>
      <c r="B123" s="2" t="s">
        <v>292</v>
      </c>
      <c r="C123" s="2"/>
      <c r="D123" s="2"/>
      <c r="E123" s="2" t="s">
        <v>29</v>
      </c>
      <c r="F123" s="2">
        <v>204711644</v>
      </c>
      <c r="G123" t="s">
        <v>1166</v>
      </c>
    </row>
    <row r="124" spans="1:7" hidden="1" x14ac:dyDescent="0.45">
      <c r="A124" s="2">
        <v>113</v>
      </c>
      <c r="B124" s="2" t="s">
        <v>295</v>
      </c>
      <c r="C124" s="2"/>
      <c r="D124" s="2"/>
      <c r="E124" s="2" t="s">
        <v>29</v>
      </c>
      <c r="F124" s="2">
        <v>1001546627</v>
      </c>
      <c r="G124" t="s">
        <v>1166</v>
      </c>
    </row>
    <row r="125" spans="1:7" hidden="1" x14ac:dyDescent="0.45">
      <c r="A125" s="2">
        <v>114</v>
      </c>
      <c r="B125" s="2" t="s">
        <v>296</v>
      </c>
      <c r="C125" s="2"/>
      <c r="D125" s="2"/>
      <c r="E125" s="2" t="s">
        <v>29</v>
      </c>
      <c r="F125" s="2">
        <v>391756</v>
      </c>
      <c r="G125" t="s">
        <v>1166</v>
      </c>
    </row>
    <row r="126" spans="1:7" hidden="1" x14ac:dyDescent="0.45">
      <c r="A126" s="2">
        <v>115</v>
      </c>
      <c r="B126" s="2" t="s">
        <v>298</v>
      </c>
      <c r="C126" s="2"/>
      <c r="D126" s="2"/>
      <c r="E126" s="2" t="s">
        <v>40</v>
      </c>
      <c r="F126" s="2" t="s">
        <v>302</v>
      </c>
      <c r="G126" t="s">
        <v>1166</v>
      </c>
    </row>
    <row r="127" spans="1:7" hidden="1" x14ac:dyDescent="0.45">
      <c r="A127" s="2">
        <v>116</v>
      </c>
      <c r="B127" s="2" t="s">
        <v>303</v>
      </c>
      <c r="C127" s="2"/>
      <c r="D127" s="2"/>
      <c r="E127" s="2" t="s">
        <v>101</v>
      </c>
      <c r="F127" s="2" t="s">
        <v>307</v>
      </c>
      <c r="G127" t="s">
        <v>1166</v>
      </c>
    </row>
    <row r="128" spans="1:7" hidden="1" x14ac:dyDescent="0.45">
      <c r="A128" s="2">
        <v>117</v>
      </c>
      <c r="B128" s="2" t="s">
        <v>310</v>
      </c>
      <c r="C128" s="2"/>
      <c r="D128" s="2"/>
      <c r="E128" s="2" t="s">
        <v>312</v>
      </c>
      <c r="F128" s="2"/>
      <c r="G128" t="s">
        <v>1166</v>
      </c>
    </row>
    <row r="129" spans="1:7" hidden="1" x14ac:dyDescent="0.45">
      <c r="A129" s="2">
        <v>118</v>
      </c>
      <c r="B129" s="2" t="s">
        <v>313</v>
      </c>
      <c r="C129" s="2"/>
      <c r="D129" s="2"/>
      <c r="E129" s="2" t="s">
        <v>312</v>
      </c>
      <c r="F129" s="2" t="s">
        <v>306</v>
      </c>
      <c r="G129" t="s">
        <v>1166</v>
      </c>
    </row>
    <row r="130" spans="1:7" hidden="1" x14ac:dyDescent="0.45">
      <c r="A130" s="2">
        <v>119</v>
      </c>
      <c r="B130" s="2" t="s">
        <v>314</v>
      </c>
      <c r="C130" s="2"/>
      <c r="D130" s="2"/>
      <c r="E130" s="2" t="s">
        <v>101</v>
      </c>
      <c r="F130" s="2" t="s">
        <v>316</v>
      </c>
      <c r="G130" t="s">
        <v>1166</v>
      </c>
    </row>
    <row r="131" spans="1:7" hidden="1" x14ac:dyDescent="0.45">
      <c r="A131" s="2">
        <v>120</v>
      </c>
      <c r="B131" s="2" t="s">
        <v>317</v>
      </c>
      <c r="C131" s="2"/>
      <c r="D131" s="2"/>
      <c r="E131" s="2" t="s">
        <v>40</v>
      </c>
      <c r="F131" s="2">
        <v>33927</v>
      </c>
      <c r="G131" t="s">
        <v>1166</v>
      </c>
    </row>
    <row r="132" spans="1:7" hidden="1" x14ac:dyDescent="0.45">
      <c r="A132" s="2">
        <v>121</v>
      </c>
      <c r="B132" s="2" t="s">
        <v>319</v>
      </c>
      <c r="C132" s="2"/>
      <c r="D132" s="2"/>
      <c r="E132" s="2" t="s">
        <v>101</v>
      </c>
      <c r="F132" s="2" t="s">
        <v>321</v>
      </c>
      <c r="G132" t="s">
        <v>1166</v>
      </c>
    </row>
    <row r="133" spans="1:7" hidden="1" x14ac:dyDescent="0.45">
      <c r="A133" s="2">
        <v>122</v>
      </c>
      <c r="B133" s="2" t="s">
        <v>322</v>
      </c>
      <c r="C133" s="2"/>
      <c r="D133" s="2"/>
      <c r="E133" s="2" t="s">
        <v>101</v>
      </c>
      <c r="F133" s="2" t="s">
        <v>324</v>
      </c>
      <c r="G133" t="s">
        <v>1166</v>
      </c>
    </row>
    <row r="134" spans="1:7" hidden="1" x14ac:dyDescent="0.45">
      <c r="A134" s="2">
        <v>123</v>
      </c>
      <c r="B134" s="2" t="s">
        <v>326</v>
      </c>
      <c r="C134" s="2"/>
      <c r="D134" s="2"/>
      <c r="E134" s="2" t="s">
        <v>29</v>
      </c>
      <c r="F134" s="2">
        <v>531738</v>
      </c>
      <c r="G134" t="s">
        <v>1166</v>
      </c>
    </row>
    <row r="135" spans="1:7" hidden="1" x14ac:dyDescent="0.45">
      <c r="A135" s="2">
        <v>124</v>
      </c>
      <c r="B135" s="2" t="s">
        <v>329</v>
      </c>
      <c r="C135" s="2"/>
      <c r="D135" s="2"/>
      <c r="E135" s="2" t="s">
        <v>29</v>
      </c>
      <c r="F135" s="2">
        <v>532815</v>
      </c>
      <c r="G135" t="s">
        <v>1166</v>
      </c>
    </row>
    <row r="136" spans="1:7" hidden="1" x14ac:dyDescent="0.45">
      <c r="A136" s="2">
        <v>125</v>
      </c>
      <c r="B136" s="2" t="s">
        <v>331</v>
      </c>
      <c r="C136" s="2"/>
      <c r="D136" s="2"/>
      <c r="E136" s="2" t="s">
        <v>29</v>
      </c>
      <c r="F136" s="2" t="s">
        <v>333</v>
      </c>
      <c r="G136" t="s">
        <v>1166</v>
      </c>
    </row>
    <row r="137" spans="1:7" hidden="1" x14ac:dyDescent="0.45">
      <c r="A137" s="2">
        <v>126</v>
      </c>
      <c r="B137" s="2" t="s">
        <v>334</v>
      </c>
      <c r="C137" s="2"/>
      <c r="D137" s="2"/>
      <c r="E137" s="2" t="s">
        <v>29</v>
      </c>
      <c r="F137" s="2" t="s">
        <v>335</v>
      </c>
      <c r="G137" t="s">
        <v>1166</v>
      </c>
    </row>
    <row r="138" spans="1:7" hidden="1" x14ac:dyDescent="0.45">
      <c r="A138" s="2">
        <v>127</v>
      </c>
      <c r="B138" s="2" t="s">
        <v>336</v>
      </c>
      <c r="C138" s="2"/>
      <c r="D138" s="2"/>
      <c r="E138" s="2" t="s">
        <v>29</v>
      </c>
      <c r="F138" s="2" t="s">
        <v>339</v>
      </c>
      <c r="G138" t="s">
        <v>1166</v>
      </c>
    </row>
    <row r="139" spans="1:7" hidden="1" x14ac:dyDescent="0.45">
      <c r="A139" s="2">
        <v>128</v>
      </c>
      <c r="B139" s="2" t="s">
        <v>340</v>
      </c>
      <c r="C139" s="2"/>
      <c r="D139" s="2"/>
      <c r="E139" s="2" t="s">
        <v>29</v>
      </c>
      <c r="F139" s="2">
        <v>876793</v>
      </c>
      <c r="G139" t="s">
        <v>1166</v>
      </c>
    </row>
    <row r="140" spans="1:7" hidden="1" x14ac:dyDescent="0.45">
      <c r="A140" s="2">
        <v>129</v>
      </c>
      <c r="B140" s="2" t="s">
        <v>342</v>
      </c>
      <c r="C140" s="2"/>
      <c r="D140" s="2"/>
      <c r="E140" s="2" t="s">
        <v>29</v>
      </c>
      <c r="F140" s="2" t="s">
        <v>344</v>
      </c>
      <c r="G140" t="s">
        <v>1166</v>
      </c>
    </row>
    <row r="141" spans="1:7" hidden="1" x14ac:dyDescent="0.45">
      <c r="A141" s="2">
        <v>130</v>
      </c>
      <c r="B141" s="2" t="s">
        <v>345</v>
      </c>
      <c r="C141" s="2"/>
      <c r="D141" s="2"/>
      <c r="E141" s="2" t="s">
        <v>29</v>
      </c>
      <c r="F141" s="2">
        <v>434981</v>
      </c>
      <c r="G141" t="s">
        <v>1166</v>
      </c>
    </row>
    <row r="142" spans="1:7" hidden="1" x14ac:dyDescent="0.45">
      <c r="A142" s="2">
        <v>131</v>
      </c>
      <c r="B142" s="2" t="s">
        <v>346</v>
      </c>
      <c r="C142" s="2"/>
      <c r="D142" s="2"/>
      <c r="E142" s="2" t="s">
        <v>29</v>
      </c>
      <c r="F142" s="2">
        <v>1001370815</v>
      </c>
      <c r="G142" t="s">
        <v>1166</v>
      </c>
    </row>
    <row r="143" spans="1:7" hidden="1" x14ac:dyDescent="0.45">
      <c r="A143" s="2">
        <v>132</v>
      </c>
      <c r="B143" s="2" t="s">
        <v>347</v>
      </c>
      <c r="C143" s="2"/>
      <c r="D143" s="2"/>
      <c r="E143" s="2" t="s">
        <v>29</v>
      </c>
      <c r="F143" s="2">
        <v>202056256</v>
      </c>
      <c r="G143" t="s">
        <v>1166</v>
      </c>
    </row>
    <row r="144" spans="1:7" hidden="1" x14ac:dyDescent="0.45">
      <c r="A144" s="2">
        <v>133</v>
      </c>
      <c r="B144" s="2" t="s">
        <v>348</v>
      </c>
      <c r="C144" s="2"/>
      <c r="D144" s="2"/>
      <c r="E144" s="2" t="s">
        <v>29</v>
      </c>
      <c r="F144" s="2">
        <v>100026991</v>
      </c>
      <c r="G144" t="s">
        <v>1166</v>
      </c>
    </row>
    <row r="145" spans="1:7" hidden="1" x14ac:dyDescent="0.45">
      <c r="A145" s="2">
        <v>134</v>
      </c>
      <c r="B145" s="2" t="s">
        <v>349</v>
      </c>
      <c r="C145" s="2"/>
      <c r="D145" s="2"/>
      <c r="E145" s="2" t="s">
        <v>29</v>
      </c>
      <c r="F145" s="2">
        <v>101249</v>
      </c>
      <c r="G145" t="s">
        <v>1166</v>
      </c>
    </row>
    <row r="146" spans="1:7" hidden="1" x14ac:dyDescent="0.45">
      <c r="A146" s="2">
        <v>135</v>
      </c>
      <c r="B146" s="2" t="s">
        <v>350</v>
      </c>
      <c r="C146" s="2"/>
      <c r="D146" s="2"/>
      <c r="E146" s="2" t="s">
        <v>353</v>
      </c>
      <c r="F146" s="2">
        <v>615344</v>
      </c>
      <c r="G146" t="s">
        <v>1166</v>
      </c>
    </row>
    <row r="147" spans="1:7" hidden="1" x14ac:dyDescent="0.45">
      <c r="A147" s="2">
        <v>136</v>
      </c>
      <c r="B147" s="2" t="s">
        <v>357</v>
      </c>
      <c r="C147" s="2"/>
      <c r="D147" s="2"/>
      <c r="E147" s="2" t="s">
        <v>353</v>
      </c>
      <c r="F147" s="2">
        <v>72135</v>
      </c>
      <c r="G147" t="s">
        <v>1166</v>
      </c>
    </row>
    <row r="148" spans="1:7" hidden="1" x14ac:dyDescent="0.45">
      <c r="A148" s="2">
        <v>137</v>
      </c>
      <c r="B148" s="2" t="s">
        <v>358</v>
      </c>
      <c r="C148" s="2"/>
      <c r="D148" s="2"/>
      <c r="E148" s="2" t="s">
        <v>353</v>
      </c>
      <c r="F148" s="2">
        <v>614792</v>
      </c>
      <c r="G148" t="s">
        <v>1166</v>
      </c>
    </row>
    <row r="149" spans="1:7" hidden="1" x14ac:dyDescent="0.45">
      <c r="A149" s="2">
        <v>138</v>
      </c>
      <c r="B149" s="2" t="s">
        <v>360</v>
      </c>
      <c r="C149" s="2"/>
      <c r="D149" s="2"/>
      <c r="E149" s="2" t="s">
        <v>40</v>
      </c>
      <c r="F149" s="2" t="s">
        <v>362</v>
      </c>
      <c r="G149" t="s">
        <v>1166</v>
      </c>
    </row>
    <row r="150" spans="1:7" hidden="1" x14ac:dyDescent="0.45">
      <c r="A150" s="2">
        <v>139</v>
      </c>
      <c r="B150" s="2" t="s">
        <v>364</v>
      </c>
      <c r="C150" s="2"/>
      <c r="D150" s="2"/>
      <c r="E150" s="2" t="s">
        <v>29</v>
      </c>
      <c r="F150" s="2">
        <v>455875</v>
      </c>
      <c r="G150" t="s">
        <v>1166</v>
      </c>
    </row>
    <row r="151" spans="1:7" hidden="1" x14ac:dyDescent="0.45">
      <c r="A151" s="2">
        <v>140</v>
      </c>
      <c r="B151" s="2" t="s">
        <v>366</v>
      </c>
      <c r="C151" s="2"/>
      <c r="D151" s="2"/>
      <c r="E151" s="2" t="s">
        <v>29</v>
      </c>
      <c r="F151" s="2">
        <v>68579201</v>
      </c>
      <c r="G151" t="s">
        <v>1166</v>
      </c>
    </row>
    <row r="152" spans="1:7" hidden="1" x14ac:dyDescent="0.45">
      <c r="A152" s="2">
        <v>141</v>
      </c>
      <c r="B152" s="2" t="s">
        <v>368</v>
      </c>
      <c r="C152" s="2"/>
      <c r="D152" s="2"/>
      <c r="E152" s="2" t="s">
        <v>40</v>
      </c>
      <c r="F152" s="2">
        <v>47104807</v>
      </c>
      <c r="G152" t="s">
        <v>1166</v>
      </c>
    </row>
    <row r="153" spans="1:7" hidden="1" x14ac:dyDescent="0.45">
      <c r="A153" s="2">
        <v>142</v>
      </c>
      <c r="B153" s="2" t="s">
        <v>370</v>
      </c>
      <c r="C153" s="2"/>
      <c r="D153" s="2"/>
      <c r="E153" s="2" t="s">
        <v>40</v>
      </c>
      <c r="F153" s="2">
        <v>47120307</v>
      </c>
      <c r="G153" t="s">
        <v>1166</v>
      </c>
    </row>
    <row r="154" spans="1:7" hidden="1" x14ac:dyDescent="0.45">
      <c r="A154" s="2">
        <v>143</v>
      </c>
      <c r="B154" s="2" t="s">
        <v>372</v>
      </c>
      <c r="C154" s="2"/>
      <c r="D154" s="2"/>
      <c r="E154" s="2" t="s">
        <v>40</v>
      </c>
      <c r="F154" s="2">
        <v>47140307</v>
      </c>
      <c r="G154" t="s">
        <v>1166</v>
      </c>
    </row>
    <row r="155" spans="1:7" hidden="1" x14ac:dyDescent="0.45">
      <c r="A155" s="2">
        <v>144</v>
      </c>
      <c r="B155" s="2" t="s">
        <v>374</v>
      </c>
      <c r="C155" s="2"/>
      <c r="D155" s="2"/>
      <c r="E155" s="2" t="s">
        <v>29</v>
      </c>
      <c r="F155" s="2"/>
      <c r="G155" t="s">
        <v>1166</v>
      </c>
    </row>
    <row r="156" spans="1:7" hidden="1" x14ac:dyDescent="0.45">
      <c r="A156" s="2">
        <v>145</v>
      </c>
      <c r="B156" s="2" t="s">
        <v>376</v>
      </c>
      <c r="C156" s="2"/>
      <c r="D156" s="2"/>
      <c r="E156" s="2" t="s">
        <v>40</v>
      </c>
      <c r="F156" s="2" t="s">
        <v>378</v>
      </c>
      <c r="G156" t="s">
        <v>1166</v>
      </c>
    </row>
    <row r="157" spans="1:7" hidden="1" x14ac:dyDescent="0.45">
      <c r="A157" s="2">
        <v>146</v>
      </c>
      <c r="B157" s="2" t="s">
        <v>379</v>
      </c>
      <c r="C157" s="2"/>
      <c r="D157" s="2"/>
      <c r="E157" s="2" t="s">
        <v>40</v>
      </c>
      <c r="F157" s="2" t="s">
        <v>381</v>
      </c>
      <c r="G157" t="s">
        <v>1166</v>
      </c>
    </row>
    <row r="158" spans="1:7" hidden="1" x14ac:dyDescent="0.45">
      <c r="A158" s="2">
        <v>147</v>
      </c>
      <c r="B158" s="2" t="s">
        <v>382</v>
      </c>
      <c r="C158" s="2"/>
      <c r="D158" s="2"/>
      <c r="E158" s="2" t="s">
        <v>40</v>
      </c>
      <c r="F158" s="2" t="s">
        <v>386</v>
      </c>
      <c r="G158" t="s">
        <v>1166</v>
      </c>
    </row>
    <row r="159" spans="1:7" hidden="1" x14ac:dyDescent="0.45">
      <c r="A159" s="2">
        <v>148</v>
      </c>
      <c r="B159" s="2" t="s">
        <v>387</v>
      </c>
      <c r="C159" s="2"/>
      <c r="D159" s="2"/>
      <c r="E159" s="2" t="s">
        <v>29</v>
      </c>
      <c r="F159" s="2">
        <v>100063067</v>
      </c>
      <c r="G159" t="s">
        <v>1166</v>
      </c>
    </row>
    <row r="160" spans="1:7" hidden="1" x14ac:dyDescent="0.45">
      <c r="A160" s="2">
        <v>149</v>
      </c>
      <c r="B160" s="2" t="s">
        <v>388</v>
      </c>
      <c r="C160" s="2"/>
      <c r="D160" s="2"/>
      <c r="E160" s="2" t="s">
        <v>391</v>
      </c>
      <c r="F160" s="2" t="s">
        <v>392</v>
      </c>
      <c r="G160" t="s">
        <v>1166</v>
      </c>
    </row>
    <row r="161" spans="1:7" hidden="1" x14ac:dyDescent="0.45">
      <c r="A161" s="2">
        <v>150</v>
      </c>
      <c r="B161" s="2" t="s">
        <v>393</v>
      </c>
      <c r="C161" s="2"/>
      <c r="D161" s="2"/>
      <c r="E161" s="2" t="s">
        <v>40</v>
      </c>
      <c r="F161" s="2" t="s">
        <v>395</v>
      </c>
      <c r="G161" t="s">
        <v>1166</v>
      </c>
    </row>
    <row r="162" spans="1:7" hidden="1" x14ac:dyDescent="0.45">
      <c r="A162" s="2">
        <v>151</v>
      </c>
      <c r="B162" s="2" t="s">
        <v>396</v>
      </c>
      <c r="C162" s="2"/>
      <c r="D162" s="2"/>
      <c r="E162" s="2" t="s">
        <v>391</v>
      </c>
      <c r="F162" s="2" t="s">
        <v>398</v>
      </c>
      <c r="G162" t="s">
        <v>1166</v>
      </c>
    </row>
    <row r="163" spans="1:7" hidden="1" x14ac:dyDescent="0.45">
      <c r="A163" s="2">
        <v>152</v>
      </c>
      <c r="B163" s="2" t="s">
        <v>399</v>
      </c>
      <c r="C163" s="2"/>
      <c r="D163" s="2"/>
      <c r="E163" s="2" t="s">
        <v>391</v>
      </c>
      <c r="F163" s="2" t="s">
        <v>400</v>
      </c>
      <c r="G163" t="s">
        <v>1166</v>
      </c>
    </row>
    <row r="164" spans="1:7" hidden="1" x14ac:dyDescent="0.45">
      <c r="A164" s="2">
        <v>153</v>
      </c>
      <c r="B164" s="2" t="s">
        <v>401</v>
      </c>
      <c r="C164" s="2"/>
      <c r="D164" s="2"/>
      <c r="E164" s="2" t="s">
        <v>391</v>
      </c>
      <c r="F164" s="2" t="s">
        <v>402</v>
      </c>
      <c r="G164" t="s">
        <v>1166</v>
      </c>
    </row>
    <row r="165" spans="1:7" hidden="1" x14ac:dyDescent="0.45">
      <c r="A165" s="2">
        <v>154</v>
      </c>
      <c r="B165" s="2" t="s">
        <v>403</v>
      </c>
      <c r="C165" s="2"/>
      <c r="D165" s="2"/>
      <c r="E165" s="2" t="s">
        <v>391</v>
      </c>
      <c r="F165" s="2" t="s">
        <v>404</v>
      </c>
      <c r="G165" t="s">
        <v>1166</v>
      </c>
    </row>
    <row r="166" spans="1:7" hidden="1" x14ac:dyDescent="0.45">
      <c r="A166" s="2">
        <v>155</v>
      </c>
      <c r="B166" s="2" t="s">
        <v>405</v>
      </c>
      <c r="C166" s="2"/>
      <c r="D166" s="2"/>
      <c r="E166" s="2" t="s">
        <v>406</v>
      </c>
      <c r="F166" s="2" t="s">
        <v>407</v>
      </c>
      <c r="G166" t="s">
        <v>1166</v>
      </c>
    </row>
    <row r="167" spans="1:7" hidden="1" x14ac:dyDescent="0.45">
      <c r="A167" s="2">
        <v>156</v>
      </c>
      <c r="B167" s="2" t="s">
        <v>409</v>
      </c>
      <c r="C167" s="2"/>
      <c r="D167" s="2"/>
      <c r="E167" s="2" t="s">
        <v>391</v>
      </c>
      <c r="F167" s="2" t="s">
        <v>411</v>
      </c>
      <c r="G167" t="s">
        <v>1166</v>
      </c>
    </row>
    <row r="168" spans="1:7" hidden="1" x14ac:dyDescent="0.45">
      <c r="A168" s="2">
        <v>157</v>
      </c>
      <c r="B168" s="2" t="s">
        <v>412</v>
      </c>
      <c r="C168" s="2"/>
      <c r="D168" s="2"/>
      <c r="E168" s="2" t="s">
        <v>391</v>
      </c>
      <c r="F168" s="2" t="s">
        <v>413</v>
      </c>
      <c r="G168" t="s">
        <v>1166</v>
      </c>
    </row>
    <row r="169" spans="1:7" hidden="1" x14ac:dyDescent="0.45">
      <c r="A169" s="2">
        <v>158</v>
      </c>
      <c r="B169" s="2" t="s">
        <v>414</v>
      </c>
      <c r="C169" s="2"/>
      <c r="D169" s="2"/>
      <c r="E169" s="2" t="s">
        <v>391</v>
      </c>
      <c r="F169" s="2" t="s">
        <v>416</v>
      </c>
      <c r="G169" t="s">
        <v>1166</v>
      </c>
    </row>
    <row r="170" spans="1:7" hidden="1" x14ac:dyDescent="0.45">
      <c r="A170" s="2">
        <v>159</v>
      </c>
      <c r="B170" s="2" t="s">
        <v>417</v>
      </c>
      <c r="C170" s="2"/>
      <c r="D170" s="2"/>
      <c r="E170" s="2" t="s">
        <v>418</v>
      </c>
      <c r="F170" s="2" t="s">
        <v>419</v>
      </c>
      <c r="G170" t="s">
        <v>1166</v>
      </c>
    </row>
    <row r="171" spans="1:7" hidden="1" x14ac:dyDescent="0.45">
      <c r="A171" s="2">
        <v>160</v>
      </c>
      <c r="B171" s="2" t="s">
        <v>420</v>
      </c>
      <c r="C171" s="2"/>
      <c r="D171" s="2"/>
      <c r="E171" s="2" t="s">
        <v>391</v>
      </c>
      <c r="F171" s="2" t="s">
        <v>421</v>
      </c>
      <c r="G171" t="s">
        <v>1166</v>
      </c>
    </row>
    <row r="172" spans="1:7" hidden="1" x14ac:dyDescent="0.45">
      <c r="A172" s="2">
        <v>161</v>
      </c>
      <c r="B172" s="2" t="s">
        <v>422</v>
      </c>
      <c r="C172" s="2"/>
      <c r="D172" s="2"/>
      <c r="E172" s="2" t="s">
        <v>391</v>
      </c>
      <c r="F172" s="2" t="s">
        <v>424</v>
      </c>
      <c r="G172" t="s">
        <v>1166</v>
      </c>
    </row>
    <row r="173" spans="1:7" x14ac:dyDescent="0.45">
      <c r="A173" s="2">
        <v>162</v>
      </c>
      <c r="B173" s="2" t="s">
        <v>425</v>
      </c>
      <c r="C173" s="2"/>
      <c r="D173" s="2"/>
      <c r="E173" s="2" t="s">
        <v>391</v>
      </c>
      <c r="F173" s="2" t="s">
        <v>427</v>
      </c>
      <c r="G173" t="s">
        <v>1167</v>
      </c>
    </row>
    <row r="174" spans="1:7" x14ac:dyDescent="0.45">
      <c r="A174" s="2">
        <v>163</v>
      </c>
      <c r="B174" s="2" t="s">
        <v>429</v>
      </c>
      <c r="C174" s="2"/>
      <c r="D174" s="2"/>
      <c r="E174" s="2" t="s">
        <v>391</v>
      </c>
      <c r="F174" s="2" t="s">
        <v>430</v>
      </c>
      <c r="G174" t="s">
        <v>1167</v>
      </c>
    </row>
    <row r="175" spans="1:7" x14ac:dyDescent="0.45">
      <c r="A175" s="2">
        <v>164</v>
      </c>
      <c r="B175" s="2" t="s">
        <v>431</v>
      </c>
      <c r="C175" s="2"/>
      <c r="D175" s="2"/>
      <c r="E175" s="2" t="s">
        <v>391</v>
      </c>
      <c r="F175" s="2" t="s">
        <v>432</v>
      </c>
      <c r="G175" t="s">
        <v>1167</v>
      </c>
    </row>
    <row r="176" spans="1:7" hidden="1" x14ac:dyDescent="0.45">
      <c r="A176" s="2">
        <v>165</v>
      </c>
      <c r="B176" s="2" t="s">
        <v>433</v>
      </c>
      <c r="C176" s="2"/>
      <c r="D176" s="2"/>
      <c r="E176" s="2" t="s">
        <v>391</v>
      </c>
      <c r="F176" s="2" t="s">
        <v>435</v>
      </c>
      <c r="G176" t="s">
        <v>1166</v>
      </c>
    </row>
    <row r="177" spans="1:7" hidden="1" x14ac:dyDescent="0.45">
      <c r="A177" s="2">
        <v>166</v>
      </c>
      <c r="B177" s="2" t="s">
        <v>436</v>
      </c>
      <c r="C177" s="2"/>
      <c r="D177" s="2"/>
      <c r="E177" s="2" t="s">
        <v>391</v>
      </c>
      <c r="F177" s="2" t="s">
        <v>438</v>
      </c>
      <c r="G177" t="s">
        <v>1166</v>
      </c>
    </row>
    <row r="178" spans="1:7" hidden="1" x14ac:dyDescent="0.45">
      <c r="A178" s="2">
        <v>167</v>
      </c>
      <c r="B178" s="2" t="s">
        <v>439</v>
      </c>
      <c r="C178" s="2"/>
      <c r="D178" s="2"/>
      <c r="E178" s="2" t="s">
        <v>391</v>
      </c>
      <c r="F178" s="2" t="s">
        <v>440</v>
      </c>
      <c r="G178" t="s">
        <v>1166</v>
      </c>
    </row>
    <row r="179" spans="1:7" hidden="1" x14ac:dyDescent="0.45">
      <c r="A179" s="2">
        <v>168</v>
      </c>
      <c r="B179" s="2" t="s">
        <v>441</v>
      </c>
      <c r="C179" s="2"/>
      <c r="D179" s="2"/>
      <c r="E179" s="2" t="s">
        <v>391</v>
      </c>
      <c r="F179" s="2" t="s">
        <v>442</v>
      </c>
      <c r="G179" t="s">
        <v>1166</v>
      </c>
    </row>
    <row r="180" spans="1:7" hidden="1" x14ac:dyDescent="0.45">
      <c r="A180" s="2">
        <v>169</v>
      </c>
      <c r="B180" s="2" t="s">
        <v>443</v>
      </c>
      <c r="C180" s="2"/>
      <c r="D180" s="2"/>
      <c r="E180" s="2" t="s">
        <v>391</v>
      </c>
      <c r="F180" s="2" t="s">
        <v>444</v>
      </c>
      <c r="G180" t="s">
        <v>1166</v>
      </c>
    </row>
    <row r="181" spans="1:7" hidden="1" x14ac:dyDescent="0.45">
      <c r="A181" s="2">
        <v>170</v>
      </c>
      <c r="B181" s="2" t="s">
        <v>447</v>
      </c>
      <c r="C181" s="2"/>
      <c r="D181" s="2"/>
      <c r="E181" s="2" t="s">
        <v>391</v>
      </c>
      <c r="F181" s="2" t="s">
        <v>448</v>
      </c>
      <c r="G181" t="s">
        <v>1166</v>
      </c>
    </row>
    <row r="182" spans="1:7" hidden="1" x14ac:dyDescent="0.45">
      <c r="A182" s="2">
        <v>171</v>
      </c>
      <c r="B182" s="2" t="s">
        <v>449</v>
      </c>
      <c r="C182" s="2"/>
      <c r="D182" s="2"/>
      <c r="E182" s="2" t="s">
        <v>40</v>
      </c>
      <c r="F182" s="2" t="s">
        <v>450</v>
      </c>
      <c r="G182" t="s">
        <v>1166</v>
      </c>
    </row>
    <row r="183" spans="1:7" hidden="1" x14ac:dyDescent="0.45">
      <c r="A183" s="2">
        <v>172</v>
      </c>
      <c r="B183" s="2" t="s">
        <v>451</v>
      </c>
      <c r="C183" s="2"/>
      <c r="D183" s="2"/>
      <c r="E183" s="2" t="s">
        <v>391</v>
      </c>
      <c r="F183" s="2" t="s">
        <v>453</v>
      </c>
      <c r="G183" t="s">
        <v>1166</v>
      </c>
    </row>
    <row r="184" spans="1:7" hidden="1" x14ac:dyDescent="0.45">
      <c r="A184" s="2">
        <v>173</v>
      </c>
      <c r="B184" s="2" t="s">
        <v>454</v>
      </c>
      <c r="C184" s="2"/>
      <c r="D184" s="2"/>
      <c r="E184" s="2" t="s">
        <v>457</v>
      </c>
      <c r="F184" s="2"/>
      <c r="G184" t="s">
        <v>1166</v>
      </c>
    </row>
    <row r="185" spans="1:7" hidden="1" x14ac:dyDescent="0.45">
      <c r="A185" s="2">
        <v>174</v>
      </c>
      <c r="B185" s="2" t="s">
        <v>458</v>
      </c>
      <c r="C185" s="2"/>
      <c r="D185" s="2"/>
      <c r="E185" s="2" t="s">
        <v>457</v>
      </c>
      <c r="F185" s="2"/>
      <c r="G185" t="s">
        <v>1166</v>
      </c>
    </row>
    <row r="186" spans="1:7" hidden="1" x14ac:dyDescent="0.45">
      <c r="A186" s="2">
        <v>175</v>
      </c>
      <c r="B186" s="2" t="s">
        <v>462</v>
      </c>
      <c r="C186" s="2"/>
      <c r="D186" s="2"/>
      <c r="E186" s="2" t="s">
        <v>457</v>
      </c>
      <c r="F186" s="2"/>
      <c r="G186" t="s">
        <v>1166</v>
      </c>
    </row>
    <row r="187" spans="1:7" hidden="1" x14ac:dyDescent="0.45">
      <c r="A187" s="2">
        <v>176</v>
      </c>
      <c r="B187" s="2" t="s">
        <v>465</v>
      </c>
      <c r="C187" s="2"/>
      <c r="D187" s="2"/>
      <c r="E187" s="2" t="s">
        <v>457</v>
      </c>
      <c r="F187" s="2"/>
      <c r="G187" t="s">
        <v>1166</v>
      </c>
    </row>
    <row r="188" spans="1:7" hidden="1" x14ac:dyDescent="0.45">
      <c r="A188" s="2">
        <v>177</v>
      </c>
      <c r="B188" s="2" t="s">
        <v>466</v>
      </c>
      <c r="C188" s="2"/>
      <c r="D188" s="2"/>
      <c r="E188" s="2" t="s">
        <v>457</v>
      </c>
      <c r="F188" s="2"/>
      <c r="G188" t="s">
        <v>1166</v>
      </c>
    </row>
    <row r="189" spans="1:7" hidden="1" x14ac:dyDescent="0.45">
      <c r="A189" s="2">
        <v>178</v>
      </c>
      <c r="B189" s="2" t="s">
        <v>468</v>
      </c>
      <c r="C189" s="2"/>
      <c r="D189" s="2"/>
      <c r="E189" s="2" t="s">
        <v>457</v>
      </c>
      <c r="F189" s="2"/>
      <c r="G189" t="s">
        <v>1166</v>
      </c>
    </row>
    <row r="190" spans="1:7" hidden="1" x14ac:dyDescent="0.45">
      <c r="A190" s="2">
        <v>179</v>
      </c>
      <c r="B190" s="2" t="s">
        <v>470</v>
      </c>
      <c r="C190" s="2"/>
      <c r="D190" s="2"/>
      <c r="E190" s="2" t="s">
        <v>471</v>
      </c>
      <c r="F190" s="2"/>
      <c r="G190" t="s">
        <v>1166</v>
      </c>
    </row>
    <row r="191" spans="1:7" hidden="1" x14ac:dyDescent="0.45">
      <c r="A191" s="2">
        <v>180</v>
      </c>
      <c r="B191" s="2" t="s">
        <v>474</v>
      </c>
      <c r="C191" s="2"/>
      <c r="D191" s="2"/>
      <c r="E191" s="2"/>
      <c r="F191" s="2"/>
      <c r="G191" t="s">
        <v>1166</v>
      </c>
    </row>
    <row r="192" spans="1:7" hidden="1" x14ac:dyDescent="0.45">
      <c r="A192" s="2">
        <v>181</v>
      </c>
      <c r="B192" s="2" t="s">
        <v>476</v>
      </c>
      <c r="C192" s="2"/>
      <c r="D192" s="2"/>
      <c r="E192" s="2"/>
      <c r="F192" s="2"/>
      <c r="G192" t="s">
        <v>1166</v>
      </c>
    </row>
    <row r="193" spans="1:7" hidden="1" x14ac:dyDescent="0.45">
      <c r="A193" s="2">
        <v>182</v>
      </c>
      <c r="B193" s="2" t="s">
        <v>477</v>
      </c>
      <c r="C193" s="2"/>
      <c r="D193" s="2"/>
      <c r="E193" s="2"/>
      <c r="F193" s="2"/>
      <c r="G193" t="s">
        <v>1166</v>
      </c>
    </row>
    <row r="194" spans="1:7" hidden="1" x14ac:dyDescent="0.45">
      <c r="A194" s="2">
        <v>183</v>
      </c>
      <c r="B194" s="2" t="s">
        <v>478</v>
      </c>
      <c r="C194" s="2"/>
      <c r="D194" s="2"/>
      <c r="E194" s="2"/>
      <c r="F194" s="2"/>
      <c r="G194" t="s">
        <v>1166</v>
      </c>
    </row>
    <row r="195" spans="1:7" x14ac:dyDescent="0.45">
      <c r="A195" s="2">
        <v>184</v>
      </c>
      <c r="B195" s="2" t="s">
        <v>479</v>
      </c>
      <c r="C195" s="2"/>
      <c r="D195" s="2"/>
      <c r="E195" s="2"/>
      <c r="F195" s="2"/>
      <c r="G195" t="s">
        <v>1167</v>
      </c>
    </row>
    <row r="196" spans="1:7" x14ac:dyDescent="0.45">
      <c r="A196" s="2">
        <v>185</v>
      </c>
      <c r="B196" s="2" t="s">
        <v>480</v>
      </c>
      <c r="C196" s="2"/>
      <c r="D196" s="2"/>
      <c r="E196" s="2"/>
      <c r="F196" s="2"/>
      <c r="G196" t="s">
        <v>1167</v>
      </c>
    </row>
    <row r="197" spans="1:7" hidden="1" x14ac:dyDescent="0.45">
      <c r="A197" s="2">
        <v>186</v>
      </c>
      <c r="B197" s="2" t="s">
        <v>481</v>
      </c>
      <c r="C197" s="2"/>
      <c r="D197" s="2"/>
      <c r="E197" s="2" t="s">
        <v>29</v>
      </c>
      <c r="F197" s="2">
        <v>1001801632</v>
      </c>
      <c r="G197" t="s">
        <v>1166</v>
      </c>
    </row>
    <row r="198" spans="1:7" hidden="1" x14ac:dyDescent="0.45">
      <c r="A198" s="2">
        <v>187</v>
      </c>
      <c r="B198" s="2" t="s">
        <v>485</v>
      </c>
      <c r="C198" s="2"/>
      <c r="D198" s="2"/>
      <c r="E198" s="2" t="s">
        <v>29</v>
      </c>
      <c r="F198" s="2">
        <v>1004676283</v>
      </c>
      <c r="G198" t="s">
        <v>1166</v>
      </c>
    </row>
    <row r="199" spans="1:7" hidden="1" x14ac:dyDescent="0.45">
      <c r="A199" s="2">
        <v>188</v>
      </c>
      <c r="B199" s="2" t="s">
        <v>486</v>
      </c>
      <c r="C199" s="2"/>
      <c r="D199" s="2"/>
      <c r="E199" s="2" t="s">
        <v>29</v>
      </c>
      <c r="F199" s="2">
        <v>250355</v>
      </c>
      <c r="G199" t="s">
        <v>1166</v>
      </c>
    </row>
    <row r="200" spans="1:7" hidden="1" x14ac:dyDescent="0.45">
      <c r="A200" s="2">
        <v>189</v>
      </c>
      <c r="B200" s="2" t="s">
        <v>488</v>
      </c>
      <c r="C200" s="2"/>
      <c r="D200" s="2"/>
      <c r="E200" s="2" t="s">
        <v>101</v>
      </c>
      <c r="F200" s="2" t="s">
        <v>489</v>
      </c>
      <c r="G200" t="s">
        <v>1166</v>
      </c>
    </row>
    <row r="201" spans="1:7" hidden="1" x14ac:dyDescent="0.45">
      <c r="A201" s="2">
        <v>190</v>
      </c>
      <c r="B201" s="2" t="s">
        <v>490</v>
      </c>
      <c r="C201" s="2"/>
      <c r="D201" s="2"/>
      <c r="E201" s="2" t="s">
        <v>40</v>
      </c>
      <c r="F201" s="2">
        <v>30712</v>
      </c>
      <c r="G201" t="s">
        <v>1166</v>
      </c>
    </row>
    <row r="202" spans="1:7" hidden="1" x14ac:dyDescent="0.45">
      <c r="A202" s="2">
        <v>191</v>
      </c>
      <c r="B202" s="2" t="s">
        <v>492</v>
      </c>
      <c r="C202" s="2"/>
      <c r="D202" s="2"/>
      <c r="E202" s="2" t="s">
        <v>494</v>
      </c>
      <c r="F202" s="2" t="s">
        <v>495</v>
      </c>
      <c r="G202" t="s">
        <v>1166</v>
      </c>
    </row>
    <row r="203" spans="1:7" hidden="1" x14ac:dyDescent="0.45">
      <c r="A203" s="2">
        <v>192</v>
      </c>
      <c r="B203" s="2" t="s">
        <v>496</v>
      </c>
      <c r="C203" s="2"/>
      <c r="D203" s="2"/>
      <c r="E203" s="2" t="s">
        <v>40</v>
      </c>
      <c r="F203" s="2" t="s">
        <v>497</v>
      </c>
      <c r="G203" t="s">
        <v>1166</v>
      </c>
    </row>
    <row r="204" spans="1:7" hidden="1" x14ac:dyDescent="0.45">
      <c r="A204" s="2">
        <v>193</v>
      </c>
      <c r="B204" s="2" t="s">
        <v>498</v>
      </c>
      <c r="C204" s="2"/>
      <c r="D204" s="2"/>
      <c r="E204" s="2" t="s">
        <v>29</v>
      </c>
      <c r="F204" s="2">
        <v>759837</v>
      </c>
      <c r="G204" t="s">
        <v>1166</v>
      </c>
    </row>
    <row r="205" spans="1:7" hidden="1" x14ac:dyDescent="0.45">
      <c r="A205" s="2">
        <v>194</v>
      </c>
      <c r="B205" s="2" t="s">
        <v>502</v>
      </c>
      <c r="C205" s="2"/>
      <c r="D205" s="2"/>
      <c r="E205" s="2"/>
      <c r="F205" s="2"/>
      <c r="G205" t="s">
        <v>1166</v>
      </c>
    </row>
    <row r="206" spans="1:7" hidden="1" x14ac:dyDescent="0.45">
      <c r="A206" s="2">
        <v>195</v>
      </c>
      <c r="B206" s="2" t="s">
        <v>503</v>
      </c>
      <c r="C206" s="2"/>
      <c r="D206" s="2"/>
      <c r="E206" s="2" t="s">
        <v>505</v>
      </c>
      <c r="F206" s="2" t="s">
        <v>506</v>
      </c>
      <c r="G206" t="s">
        <v>1166</v>
      </c>
    </row>
    <row r="207" spans="1:7" hidden="1" x14ac:dyDescent="0.45">
      <c r="A207" s="2">
        <v>196</v>
      </c>
      <c r="B207" s="2" t="s">
        <v>507</v>
      </c>
      <c r="C207" s="2"/>
      <c r="D207" s="2"/>
      <c r="E207" s="2" t="s">
        <v>29</v>
      </c>
      <c r="F207" s="2">
        <v>602226</v>
      </c>
      <c r="G207" t="s">
        <v>1166</v>
      </c>
    </row>
    <row r="208" spans="1:7" hidden="1" x14ac:dyDescent="0.45">
      <c r="A208" s="2">
        <v>197</v>
      </c>
      <c r="B208" s="2" t="s">
        <v>508</v>
      </c>
      <c r="C208" s="2"/>
      <c r="D208" s="2"/>
      <c r="E208" s="2" t="s">
        <v>29</v>
      </c>
      <c r="F208" s="2">
        <v>313610646</v>
      </c>
      <c r="G208" t="s">
        <v>1166</v>
      </c>
    </row>
    <row r="209" spans="1:7" hidden="1" x14ac:dyDescent="0.45">
      <c r="A209" s="2">
        <v>198</v>
      </c>
      <c r="B209" s="2" t="s">
        <v>511</v>
      </c>
      <c r="C209" s="2"/>
      <c r="D209" s="2"/>
      <c r="E209" s="2" t="s">
        <v>505</v>
      </c>
      <c r="F209" s="2"/>
      <c r="G209" t="s">
        <v>1166</v>
      </c>
    </row>
    <row r="210" spans="1:7" hidden="1" x14ac:dyDescent="0.45">
      <c r="A210" s="2">
        <v>199</v>
      </c>
      <c r="B210" s="2" t="s">
        <v>512</v>
      </c>
      <c r="C210" s="2"/>
      <c r="D210" s="2"/>
      <c r="E210" s="2" t="s">
        <v>29</v>
      </c>
      <c r="F210" s="2">
        <v>10222</v>
      </c>
      <c r="G210" t="s">
        <v>1166</v>
      </c>
    </row>
    <row r="211" spans="1:7" hidden="1" x14ac:dyDescent="0.45">
      <c r="A211" s="2">
        <v>200</v>
      </c>
      <c r="B211" s="2" t="s">
        <v>513</v>
      </c>
      <c r="C211" s="2"/>
      <c r="D211" s="2"/>
      <c r="E211" s="2" t="s">
        <v>505</v>
      </c>
      <c r="F211" s="2" t="s">
        <v>514</v>
      </c>
      <c r="G211" t="s">
        <v>1166</v>
      </c>
    </row>
    <row r="212" spans="1:7" hidden="1" x14ac:dyDescent="0.45">
      <c r="A212" s="2">
        <v>201</v>
      </c>
      <c r="B212" s="2" t="s">
        <v>515</v>
      </c>
      <c r="C212" s="2"/>
      <c r="D212" s="2"/>
      <c r="E212" s="2" t="s">
        <v>40</v>
      </c>
      <c r="F212" s="2">
        <v>60003</v>
      </c>
      <c r="G212" t="s">
        <v>1166</v>
      </c>
    </row>
    <row r="213" spans="1:7" hidden="1" x14ac:dyDescent="0.45">
      <c r="A213" s="2">
        <v>202</v>
      </c>
      <c r="B213" s="2" t="s">
        <v>516</v>
      </c>
      <c r="C213" s="2"/>
      <c r="D213" s="2"/>
      <c r="E213" s="2" t="s">
        <v>40</v>
      </c>
      <c r="F213" s="2">
        <v>60453</v>
      </c>
      <c r="G213" t="s">
        <v>1166</v>
      </c>
    </row>
    <row r="214" spans="1:7" hidden="1" x14ac:dyDescent="0.45">
      <c r="A214" s="2">
        <v>203</v>
      </c>
      <c r="B214" s="2" t="s">
        <v>517</v>
      </c>
      <c r="C214" s="2"/>
      <c r="D214" s="2"/>
      <c r="E214" s="2" t="s">
        <v>40</v>
      </c>
      <c r="F214" s="2">
        <v>31321</v>
      </c>
      <c r="G214" t="s">
        <v>1166</v>
      </c>
    </row>
    <row r="215" spans="1:7" hidden="1" x14ac:dyDescent="0.45">
      <c r="A215" s="2">
        <v>204</v>
      </c>
      <c r="B215" s="2" t="s">
        <v>519</v>
      </c>
      <c r="C215" s="2"/>
      <c r="D215" s="2"/>
      <c r="E215" s="2" t="s">
        <v>101</v>
      </c>
      <c r="F215" s="2" t="s">
        <v>521</v>
      </c>
      <c r="G215" t="s">
        <v>1166</v>
      </c>
    </row>
    <row r="216" spans="1:7" hidden="1" x14ac:dyDescent="0.45">
      <c r="A216" s="2">
        <v>205</v>
      </c>
      <c r="B216" s="2" t="s">
        <v>522</v>
      </c>
      <c r="C216" s="2"/>
      <c r="D216" s="2"/>
      <c r="E216" s="2" t="s">
        <v>40</v>
      </c>
      <c r="F216" s="2">
        <v>331760</v>
      </c>
      <c r="G216" t="s">
        <v>1166</v>
      </c>
    </row>
    <row r="217" spans="1:7" hidden="1" x14ac:dyDescent="0.45">
      <c r="A217" s="2">
        <v>206</v>
      </c>
      <c r="B217" s="2" t="s">
        <v>524</v>
      </c>
      <c r="C217" s="2"/>
      <c r="D217" s="2"/>
      <c r="E217" s="2" t="s">
        <v>29</v>
      </c>
      <c r="F217" s="2">
        <v>99053992</v>
      </c>
      <c r="G217" t="s">
        <v>1166</v>
      </c>
    </row>
    <row r="218" spans="1:7" hidden="1" x14ac:dyDescent="0.45">
      <c r="A218" s="2">
        <v>207</v>
      </c>
      <c r="B218" s="2" t="s">
        <v>526</v>
      </c>
      <c r="C218" s="2"/>
      <c r="D218" s="2"/>
      <c r="E218" s="2" t="s">
        <v>29</v>
      </c>
      <c r="F218" s="2">
        <v>99053938</v>
      </c>
      <c r="G218" t="s">
        <v>1166</v>
      </c>
    </row>
    <row r="219" spans="1:7" hidden="1" x14ac:dyDescent="0.45">
      <c r="A219" s="2">
        <v>208</v>
      </c>
      <c r="B219" s="2" t="s">
        <v>527</v>
      </c>
      <c r="C219" s="2"/>
      <c r="D219" s="2"/>
      <c r="E219" s="2" t="s">
        <v>505</v>
      </c>
      <c r="F219" s="2" t="s">
        <v>530</v>
      </c>
      <c r="G219" t="s">
        <v>1166</v>
      </c>
    </row>
    <row r="220" spans="1:7" hidden="1" x14ac:dyDescent="0.45">
      <c r="A220" s="2">
        <v>209</v>
      </c>
      <c r="B220" s="2" t="s">
        <v>532</v>
      </c>
      <c r="C220" s="2"/>
      <c r="D220" s="2"/>
      <c r="E220" s="2" t="s">
        <v>29</v>
      </c>
      <c r="F220" s="2">
        <v>1000021559</v>
      </c>
      <c r="G220" t="s">
        <v>1166</v>
      </c>
    </row>
    <row r="221" spans="1:7" hidden="1" x14ac:dyDescent="0.45">
      <c r="A221" s="2">
        <v>210</v>
      </c>
      <c r="B221" s="2" t="s">
        <v>535</v>
      </c>
      <c r="C221" s="2"/>
      <c r="D221" s="2"/>
      <c r="E221" s="2" t="s">
        <v>29</v>
      </c>
      <c r="F221" s="2">
        <v>915147</v>
      </c>
      <c r="G221" t="s">
        <v>1166</v>
      </c>
    </row>
    <row r="222" spans="1:7" hidden="1" x14ac:dyDescent="0.45">
      <c r="A222" s="2">
        <v>211</v>
      </c>
      <c r="B222" s="2" t="s">
        <v>538</v>
      </c>
      <c r="C222" s="2"/>
      <c r="D222" s="2"/>
      <c r="E222" s="2" t="s">
        <v>29</v>
      </c>
      <c r="F222" s="2">
        <v>700710</v>
      </c>
      <c r="G222" t="s">
        <v>1166</v>
      </c>
    </row>
    <row r="223" spans="1:7" hidden="1" x14ac:dyDescent="0.45">
      <c r="A223" s="2">
        <v>212</v>
      </c>
      <c r="B223" s="2" t="s">
        <v>540</v>
      </c>
      <c r="C223" s="2"/>
      <c r="D223" s="2"/>
      <c r="E223" s="2" t="s">
        <v>101</v>
      </c>
      <c r="F223" s="2">
        <v>7563</v>
      </c>
      <c r="G223" t="s">
        <v>1166</v>
      </c>
    </row>
    <row r="224" spans="1:7" hidden="1" x14ac:dyDescent="0.45">
      <c r="A224" s="2">
        <v>213</v>
      </c>
      <c r="B224" s="2" t="s">
        <v>542</v>
      </c>
      <c r="C224" s="2"/>
      <c r="D224" s="2"/>
      <c r="E224" s="2" t="s">
        <v>544</v>
      </c>
      <c r="F224" s="2" t="s">
        <v>545</v>
      </c>
      <c r="G224" t="s">
        <v>1166</v>
      </c>
    </row>
    <row r="225" spans="1:7" hidden="1" x14ac:dyDescent="0.45">
      <c r="A225" s="2">
        <v>214</v>
      </c>
      <c r="B225" s="2" t="s">
        <v>546</v>
      </c>
      <c r="C225" s="2"/>
      <c r="D225" s="2"/>
      <c r="E225" s="2" t="s">
        <v>29</v>
      </c>
      <c r="F225" s="2">
        <v>238616</v>
      </c>
      <c r="G225" t="s">
        <v>1166</v>
      </c>
    </row>
    <row r="226" spans="1:7" hidden="1" x14ac:dyDescent="0.45">
      <c r="A226" s="2">
        <v>215</v>
      </c>
      <c r="B226" s="2" t="s">
        <v>548</v>
      </c>
      <c r="C226" s="2"/>
      <c r="D226" s="2"/>
      <c r="E226" s="2" t="s">
        <v>101</v>
      </c>
      <c r="F226" s="2" t="s">
        <v>549</v>
      </c>
      <c r="G226" t="s">
        <v>1166</v>
      </c>
    </row>
    <row r="227" spans="1:7" hidden="1" x14ac:dyDescent="0.45">
      <c r="A227" s="2">
        <v>216</v>
      </c>
      <c r="B227" s="2" t="s">
        <v>550</v>
      </c>
      <c r="C227" s="2"/>
      <c r="D227" s="2"/>
      <c r="E227" s="2" t="s">
        <v>40</v>
      </c>
      <c r="F227" s="2">
        <v>70885</v>
      </c>
      <c r="G227" t="s">
        <v>1166</v>
      </c>
    </row>
    <row r="228" spans="1:7" hidden="1" x14ac:dyDescent="0.45">
      <c r="A228" s="2">
        <v>217</v>
      </c>
      <c r="B228" s="2" t="s">
        <v>551</v>
      </c>
      <c r="C228" s="2"/>
      <c r="D228" s="2"/>
      <c r="E228" s="2" t="s">
        <v>40</v>
      </c>
      <c r="F228" s="2">
        <v>70886</v>
      </c>
      <c r="G228" t="s">
        <v>1166</v>
      </c>
    </row>
    <row r="229" spans="1:7" hidden="1" x14ac:dyDescent="0.45">
      <c r="A229" s="2">
        <v>218</v>
      </c>
      <c r="B229" s="2" t="s">
        <v>552</v>
      </c>
      <c r="C229" s="2"/>
      <c r="D229" s="2"/>
      <c r="E229" s="2" t="s">
        <v>40</v>
      </c>
      <c r="F229" s="2">
        <v>15620</v>
      </c>
      <c r="G229" t="s">
        <v>1166</v>
      </c>
    </row>
    <row r="230" spans="1:7" hidden="1" x14ac:dyDescent="0.45">
      <c r="A230" s="2">
        <v>219</v>
      </c>
      <c r="B230" s="2" t="s">
        <v>553</v>
      </c>
      <c r="C230" s="2"/>
      <c r="D230" s="2"/>
      <c r="E230" s="2" t="s">
        <v>29</v>
      </c>
      <c r="F230" s="2">
        <v>100212441</v>
      </c>
      <c r="G230" t="s">
        <v>1166</v>
      </c>
    </row>
    <row r="231" spans="1:7" hidden="1" x14ac:dyDescent="0.45">
      <c r="A231" s="2">
        <v>220</v>
      </c>
      <c r="B231" s="2" t="s">
        <v>554</v>
      </c>
      <c r="C231" s="2"/>
      <c r="D231" s="2"/>
      <c r="E231" s="2" t="s">
        <v>29</v>
      </c>
      <c r="F231" s="2">
        <v>172187</v>
      </c>
      <c r="G231" t="s">
        <v>1166</v>
      </c>
    </row>
    <row r="232" spans="1:7" hidden="1" x14ac:dyDescent="0.45">
      <c r="A232" s="2">
        <v>221</v>
      </c>
      <c r="B232" s="2" t="s">
        <v>555</v>
      </c>
      <c r="C232" s="2"/>
      <c r="D232" s="2"/>
      <c r="E232" s="2" t="s">
        <v>40</v>
      </c>
      <c r="F232" s="2" t="s">
        <v>556</v>
      </c>
      <c r="G232" t="s">
        <v>1166</v>
      </c>
    </row>
    <row r="233" spans="1:7" hidden="1" x14ac:dyDescent="0.45">
      <c r="A233" s="2">
        <v>222</v>
      </c>
      <c r="B233" s="2" t="s">
        <v>557</v>
      </c>
      <c r="C233" s="2"/>
      <c r="D233" s="2"/>
      <c r="E233" s="2" t="s">
        <v>40</v>
      </c>
      <c r="F233" s="2" t="s">
        <v>558</v>
      </c>
      <c r="G233" t="s">
        <v>1166</v>
      </c>
    </row>
    <row r="234" spans="1:7" hidden="1" x14ac:dyDescent="0.45">
      <c r="A234" s="2">
        <v>223</v>
      </c>
      <c r="B234" s="2" t="s">
        <v>559</v>
      </c>
      <c r="C234" s="2"/>
      <c r="D234" s="2"/>
      <c r="E234" s="2" t="s">
        <v>40</v>
      </c>
      <c r="F234" s="2" t="s">
        <v>560</v>
      </c>
      <c r="G234" t="s">
        <v>1166</v>
      </c>
    </row>
    <row r="235" spans="1:7" hidden="1" x14ac:dyDescent="0.45">
      <c r="A235" s="2">
        <v>224</v>
      </c>
      <c r="B235" s="2" t="s">
        <v>561</v>
      </c>
      <c r="C235" s="2"/>
      <c r="D235" s="2"/>
      <c r="E235" s="2" t="s">
        <v>40</v>
      </c>
      <c r="F235" s="2" t="s">
        <v>562</v>
      </c>
      <c r="G235" t="s">
        <v>1166</v>
      </c>
    </row>
    <row r="236" spans="1:7" hidden="1" x14ac:dyDescent="0.45">
      <c r="A236" s="2">
        <v>225</v>
      </c>
      <c r="B236" s="2" t="s">
        <v>563</v>
      </c>
      <c r="C236" s="2"/>
      <c r="D236" s="2"/>
      <c r="E236" s="2" t="s">
        <v>40</v>
      </c>
      <c r="F236" s="2" t="s">
        <v>564</v>
      </c>
      <c r="G236" t="s">
        <v>1166</v>
      </c>
    </row>
    <row r="237" spans="1:7" hidden="1" x14ac:dyDescent="0.45">
      <c r="A237" s="2">
        <v>226</v>
      </c>
      <c r="B237" s="2" t="s">
        <v>565</v>
      </c>
      <c r="C237" s="2"/>
      <c r="D237" s="2"/>
      <c r="E237" s="2" t="s">
        <v>29</v>
      </c>
      <c r="F237" s="2" t="s">
        <v>567</v>
      </c>
      <c r="G237" t="s">
        <v>1166</v>
      </c>
    </row>
    <row r="238" spans="1:7" hidden="1" x14ac:dyDescent="0.45">
      <c r="A238" s="2">
        <v>227</v>
      </c>
      <c r="B238" s="2" t="s">
        <v>568</v>
      </c>
      <c r="C238" s="2"/>
      <c r="D238" s="2"/>
      <c r="E238" s="2" t="s">
        <v>101</v>
      </c>
      <c r="F238" s="2">
        <v>258</v>
      </c>
      <c r="G238" t="s">
        <v>1166</v>
      </c>
    </row>
    <row r="239" spans="1:7" hidden="1" x14ac:dyDescent="0.45">
      <c r="A239" s="2">
        <v>228</v>
      </c>
      <c r="B239" s="2" t="s">
        <v>572</v>
      </c>
      <c r="C239" s="2"/>
      <c r="D239" s="2"/>
      <c r="E239" s="2" t="s">
        <v>40</v>
      </c>
      <c r="F239" s="2" t="s">
        <v>575</v>
      </c>
      <c r="G239" t="s">
        <v>1166</v>
      </c>
    </row>
    <row r="240" spans="1:7" hidden="1" x14ac:dyDescent="0.45">
      <c r="A240" s="2">
        <v>229</v>
      </c>
      <c r="B240" s="2" t="s">
        <v>576</v>
      </c>
      <c r="C240" s="2"/>
      <c r="D240" s="2"/>
      <c r="E240" s="2" t="s">
        <v>40</v>
      </c>
      <c r="F240" s="2" t="s">
        <v>578</v>
      </c>
      <c r="G240" t="s">
        <v>1166</v>
      </c>
    </row>
    <row r="241" spans="1:7" hidden="1" x14ac:dyDescent="0.45">
      <c r="A241" s="2">
        <v>230</v>
      </c>
      <c r="B241" s="2" t="s">
        <v>579</v>
      </c>
      <c r="C241" s="2"/>
      <c r="D241" s="2"/>
      <c r="E241" s="2" t="s">
        <v>494</v>
      </c>
      <c r="F241" s="2"/>
      <c r="G241" t="s">
        <v>1166</v>
      </c>
    </row>
    <row r="242" spans="1:7" hidden="1" x14ac:dyDescent="0.45">
      <c r="A242" s="2">
        <v>231</v>
      </c>
      <c r="B242" s="2" t="s">
        <v>581</v>
      </c>
      <c r="C242" s="2"/>
      <c r="D242" s="2"/>
      <c r="E242" s="2" t="s">
        <v>494</v>
      </c>
      <c r="F242" s="2"/>
      <c r="G242" t="s">
        <v>1166</v>
      </c>
    </row>
    <row r="243" spans="1:7" hidden="1" x14ac:dyDescent="0.45">
      <c r="A243" s="2">
        <v>232</v>
      </c>
      <c r="B243" s="2" t="s">
        <v>583</v>
      </c>
      <c r="C243" s="2"/>
      <c r="D243" s="2"/>
      <c r="E243" s="2" t="s">
        <v>494</v>
      </c>
      <c r="F243" s="2"/>
      <c r="G243" t="s">
        <v>1166</v>
      </c>
    </row>
    <row r="244" spans="1:7" hidden="1" x14ac:dyDescent="0.45">
      <c r="A244" s="2">
        <v>233</v>
      </c>
      <c r="B244" s="2" t="s">
        <v>585</v>
      </c>
      <c r="C244" s="2"/>
      <c r="D244" s="2"/>
      <c r="E244" s="2" t="s">
        <v>391</v>
      </c>
      <c r="F244" s="2" t="s">
        <v>587</v>
      </c>
      <c r="G244" t="s">
        <v>1166</v>
      </c>
    </row>
    <row r="245" spans="1:7" hidden="1" x14ac:dyDescent="0.45">
      <c r="A245" s="2">
        <v>234</v>
      </c>
      <c r="B245" s="2" t="s">
        <v>588</v>
      </c>
      <c r="C245" s="2"/>
      <c r="D245" s="2"/>
      <c r="E245" s="2" t="s">
        <v>391</v>
      </c>
      <c r="F245" s="2" t="s">
        <v>590</v>
      </c>
      <c r="G245" t="s">
        <v>1166</v>
      </c>
    </row>
    <row r="246" spans="1:7" hidden="1" x14ac:dyDescent="0.45">
      <c r="A246" s="2">
        <v>235</v>
      </c>
      <c r="B246" s="2" t="s">
        <v>591</v>
      </c>
      <c r="C246" s="2"/>
      <c r="D246" s="2"/>
      <c r="E246" s="2" t="s">
        <v>494</v>
      </c>
      <c r="F246" s="2"/>
      <c r="G246" t="s">
        <v>1166</v>
      </c>
    </row>
    <row r="247" spans="1:7" hidden="1" x14ac:dyDescent="0.45">
      <c r="A247" s="2">
        <v>236</v>
      </c>
      <c r="B247" s="2" t="s">
        <v>593</v>
      </c>
      <c r="C247" s="2"/>
      <c r="D247" s="2"/>
      <c r="E247" s="2" t="s">
        <v>596</v>
      </c>
      <c r="F247" s="2"/>
      <c r="G247" t="s">
        <v>1166</v>
      </c>
    </row>
    <row r="248" spans="1:7" hidden="1" x14ac:dyDescent="0.45">
      <c r="A248" s="2">
        <v>237</v>
      </c>
      <c r="B248" s="2" t="s">
        <v>597</v>
      </c>
      <c r="C248" s="2"/>
      <c r="D248" s="2"/>
      <c r="E248" s="2" t="s">
        <v>596</v>
      </c>
      <c r="F248" s="2"/>
      <c r="G248" t="s">
        <v>1166</v>
      </c>
    </row>
    <row r="249" spans="1:7" hidden="1" x14ac:dyDescent="0.45">
      <c r="A249" s="2">
        <v>238</v>
      </c>
      <c r="B249" s="2" t="s">
        <v>598</v>
      </c>
      <c r="C249" s="2"/>
      <c r="D249" s="2"/>
      <c r="E249" s="2" t="s">
        <v>596</v>
      </c>
      <c r="F249" s="2"/>
      <c r="G249" t="s">
        <v>1166</v>
      </c>
    </row>
    <row r="250" spans="1:7" hidden="1" x14ac:dyDescent="0.45">
      <c r="A250" s="2">
        <v>239</v>
      </c>
      <c r="B250" s="2" t="s">
        <v>599</v>
      </c>
      <c r="C250" s="2"/>
      <c r="D250" s="2"/>
      <c r="E250" s="2" t="s">
        <v>29</v>
      </c>
      <c r="F250" s="2">
        <v>779164</v>
      </c>
      <c r="G250" t="s">
        <v>1166</v>
      </c>
    </row>
    <row r="251" spans="1:7" hidden="1" x14ac:dyDescent="0.45">
      <c r="A251" s="2">
        <v>240</v>
      </c>
      <c r="B251" s="2" t="s">
        <v>601</v>
      </c>
      <c r="C251" s="2"/>
      <c r="D251" s="2"/>
      <c r="E251" s="2" t="s">
        <v>29</v>
      </c>
      <c r="F251" s="2">
        <v>315303672</v>
      </c>
      <c r="G251" t="s">
        <v>1166</v>
      </c>
    </row>
    <row r="252" spans="1:7" hidden="1" x14ac:dyDescent="0.45">
      <c r="A252" s="2">
        <v>241</v>
      </c>
      <c r="B252" s="2" t="s">
        <v>603</v>
      </c>
      <c r="C252" s="2"/>
      <c r="D252" s="2"/>
      <c r="E252" s="2" t="s">
        <v>29</v>
      </c>
      <c r="F252" s="2" t="s">
        <v>604</v>
      </c>
      <c r="G252" t="s">
        <v>1166</v>
      </c>
    </row>
    <row r="253" spans="1:7" hidden="1" x14ac:dyDescent="0.45">
      <c r="A253" s="2">
        <v>242</v>
      </c>
      <c r="B253" s="2" t="s">
        <v>605</v>
      </c>
      <c r="C253" s="2"/>
      <c r="D253" s="2"/>
      <c r="E253" s="2" t="s">
        <v>29</v>
      </c>
      <c r="F253" s="2">
        <v>104813700</v>
      </c>
      <c r="G253" t="s">
        <v>1166</v>
      </c>
    </row>
    <row r="254" spans="1:7" hidden="1" x14ac:dyDescent="0.45">
      <c r="A254" s="2">
        <v>243</v>
      </c>
      <c r="B254" s="2" t="s">
        <v>606</v>
      </c>
      <c r="C254" s="2"/>
      <c r="D254" s="2"/>
      <c r="E254" s="2" t="s">
        <v>505</v>
      </c>
      <c r="F254" s="2" t="s">
        <v>608</v>
      </c>
      <c r="G254" t="s">
        <v>1166</v>
      </c>
    </row>
    <row r="255" spans="1:7" hidden="1" x14ac:dyDescent="0.45">
      <c r="A255" s="2">
        <v>244</v>
      </c>
      <c r="B255" s="2" t="s">
        <v>609</v>
      </c>
      <c r="C255" s="2"/>
      <c r="D255" s="2"/>
      <c r="E255" s="2" t="s">
        <v>505</v>
      </c>
      <c r="F255" s="2" t="s">
        <v>611</v>
      </c>
      <c r="G255" t="s">
        <v>1166</v>
      </c>
    </row>
    <row r="256" spans="1:7" hidden="1" x14ac:dyDescent="0.45">
      <c r="A256" s="2">
        <v>245</v>
      </c>
      <c r="B256" s="2" t="s">
        <v>612</v>
      </c>
      <c r="C256" s="2"/>
      <c r="D256" s="2"/>
      <c r="E256" s="2" t="s">
        <v>29</v>
      </c>
      <c r="F256" s="2">
        <v>1004307679</v>
      </c>
      <c r="G256" t="s">
        <v>1166</v>
      </c>
    </row>
    <row r="257" spans="1:7" hidden="1" x14ac:dyDescent="0.45">
      <c r="A257" s="2">
        <v>246</v>
      </c>
      <c r="B257" s="2" t="s">
        <v>614</v>
      </c>
      <c r="C257" s="2"/>
      <c r="D257" s="2"/>
      <c r="E257" s="2" t="s">
        <v>596</v>
      </c>
      <c r="F257" s="2"/>
      <c r="G257" t="s">
        <v>1166</v>
      </c>
    </row>
    <row r="258" spans="1:7" hidden="1" x14ac:dyDescent="0.45">
      <c r="A258" s="2">
        <v>247</v>
      </c>
      <c r="B258" s="2" t="s">
        <v>615</v>
      </c>
      <c r="C258" s="2"/>
      <c r="D258" s="2"/>
      <c r="E258" s="2" t="s">
        <v>596</v>
      </c>
      <c r="F258" s="2"/>
      <c r="G258" t="s">
        <v>1166</v>
      </c>
    </row>
    <row r="259" spans="1:7" hidden="1" x14ac:dyDescent="0.45">
      <c r="A259" s="2">
        <v>248</v>
      </c>
      <c r="B259" s="2" t="s">
        <v>616</v>
      </c>
      <c r="C259" s="2"/>
      <c r="D259" s="2"/>
      <c r="E259" s="2" t="s">
        <v>29</v>
      </c>
      <c r="F259" s="2" t="s">
        <v>617</v>
      </c>
      <c r="G259" t="s">
        <v>1166</v>
      </c>
    </row>
    <row r="260" spans="1:7" hidden="1" x14ac:dyDescent="0.45">
      <c r="A260" s="2">
        <v>249</v>
      </c>
      <c r="B260" s="2" t="s">
        <v>618</v>
      </c>
      <c r="C260" s="2"/>
      <c r="D260" s="2"/>
      <c r="E260" s="2" t="s">
        <v>40</v>
      </c>
      <c r="F260" s="2" t="s">
        <v>621</v>
      </c>
      <c r="G260" t="s">
        <v>1166</v>
      </c>
    </row>
    <row r="261" spans="1:7" hidden="1" x14ac:dyDescent="0.45">
      <c r="A261" s="2">
        <v>250</v>
      </c>
      <c r="B261" s="2" t="s">
        <v>622</v>
      </c>
      <c r="C261" s="2"/>
      <c r="D261" s="2"/>
      <c r="E261" s="2" t="s">
        <v>494</v>
      </c>
      <c r="F261" s="2"/>
      <c r="G261" t="s">
        <v>1166</v>
      </c>
    </row>
    <row r="262" spans="1:7" hidden="1" x14ac:dyDescent="0.45">
      <c r="A262" s="2">
        <v>251</v>
      </c>
      <c r="B262" s="2" t="s">
        <v>623</v>
      </c>
      <c r="C262" s="2"/>
      <c r="D262" s="2"/>
      <c r="E262" s="2" t="s">
        <v>494</v>
      </c>
      <c r="F262" s="2"/>
      <c r="G262" t="s">
        <v>1166</v>
      </c>
    </row>
    <row r="263" spans="1:7" hidden="1" x14ac:dyDescent="0.45">
      <c r="A263" s="2">
        <v>252</v>
      </c>
      <c r="B263" s="2" t="s">
        <v>624</v>
      </c>
      <c r="C263" s="2"/>
      <c r="D263" s="2"/>
      <c r="E263" s="2" t="s">
        <v>494</v>
      </c>
      <c r="F263" s="2"/>
      <c r="G263" t="s">
        <v>1166</v>
      </c>
    </row>
    <row r="264" spans="1:7" hidden="1" x14ac:dyDescent="0.45">
      <c r="A264" s="2">
        <v>253</v>
      </c>
      <c r="B264" s="2" t="s">
        <v>625</v>
      </c>
      <c r="C264" s="2"/>
      <c r="D264" s="2"/>
      <c r="E264" s="2" t="s">
        <v>494</v>
      </c>
      <c r="F264" s="2"/>
      <c r="G264" t="s">
        <v>1166</v>
      </c>
    </row>
    <row r="265" spans="1:7" hidden="1" x14ac:dyDescent="0.45">
      <c r="A265" s="2">
        <v>254</v>
      </c>
      <c r="B265" s="2" t="s">
        <v>628</v>
      </c>
      <c r="C265" s="2"/>
      <c r="D265" s="2"/>
      <c r="E265" s="2" t="s">
        <v>29</v>
      </c>
      <c r="F265" s="2">
        <v>526445</v>
      </c>
      <c r="G265" t="s">
        <v>1166</v>
      </c>
    </row>
    <row r="266" spans="1:7" hidden="1" x14ac:dyDescent="0.45">
      <c r="A266" s="2">
        <v>255</v>
      </c>
      <c r="B266" s="2" t="s">
        <v>631</v>
      </c>
      <c r="C266" s="2"/>
      <c r="D266" s="2"/>
      <c r="E266" s="2" t="s">
        <v>29</v>
      </c>
      <c r="F266" s="2">
        <v>748726</v>
      </c>
      <c r="G266" t="s">
        <v>1166</v>
      </c>
    </row>
    <row r="267" spans="1:7" hidden="1" x14ac:dyDescent="0.45">
      <c r="A267" s="2">
        <v>256</v>
      </c>
      <c r="B267" s="2" t="s">
        <v>633</v>
      </c>
      <c r="C267" s="2"/>
      <c r="D267" s="2"/>
      <c r="E267" s="2" t="s">
        <v>29</v>
      </c>
      <c r="F267" s="2">
        <v>748780</v>
      </c>
      <c r="G267" t="s">
        <v>1166</v>
      </c>
    </row>
    <row r="268" spans="1:7" hidden="1" x14ac:dyDescent="0.45">
      <c r="A268" s="2">
        <v>257</v>
      </c>
      <c r="B268" s="2" t="s">
        <v>635</v>
      </c>
      <c r="C268" s="2"/>
      <c r="D268" s="2"/>
      <c r="E268" s="2"/>
      <c r="F268" s="2"/>
      <c r="G268" t="s">
        <v>1166</v>
      </c>
    </row>
    <row r="269" spans="1:7" hidden="1" x14ac:dyDescent="0.45">
      <c r="A269" s="2">
        <v>258</v>
      </c>
      <c r="B269" s="2" t="s">
        <v>637</v>
      </c>
      <c r="C269" s="2"/>
      <c r="D269" s="2"/>
      <c r="E269" s="2" t="s">
        <v>29</v>
      </c>
      <c r="F269" s="2">
        <v>172634</v>
      </c>
      <c r="G269" t="s">
        <v>1166</v>
      </c>
    </row>
    <row r="270" spans="1:7" hidden="1" x14ac:dyDescent="0.45">
      <c r="A270" s="2">
        <v>259</v>
      </c>
      <c r="B270" s="2" t="s">
        <v>640</v>
      </c>
      <c r="C270" s="2"/>
      <c r="D270" s="2"/>
      <c r="E270" s="2" t="s">
        <v>29</v>
      </c>
      <c r="F270" s="2" t="s">
        <v>643</v>
      </c>
      <c r="G270" t="s">
        <v>1166</v>
      </c>
    </row>
    <row r="271" spans="1:7" hidden="1" x14ac:dyDescent="0.45">
      <c r="A271" s="2">
        <v>260</v>
      </c>
      <c r="B271" s="2" t="s">
        <v>644</v>
      </c>
      <c r="C271" s="2" t="s">
        <v>646</v>
      </c>
      <c r="D271" s="2"/>
      <c r="E271" s="2" t="s">
        <v>40</v>
      </c>
      <c r="F271" s="2" t="s">
        <v>647</v>
      </c>
      <c r="G271" t="s">
        <v>1166</v>
      </c>
    </row>
    <row r="272" spans="1:7" hidden="1" x14ac:dyDescent="0.45">
      <c r="A272" s="2">
        <v>261</v>
      </c>
      <c r="B272" s="2" t="s">
        <v>648</v>
      </c>
      <c r="C272" s="2" t="s">
        <v>646</v>
      </c>
      <c r="D272" s="2"/>
      <c r="E272" s="2" t="s">
        <v>40</v>
      </c>
      <c r="F272" s="2" t="s">
        <v>649</v>
      </c>
      <c r="G272" t="s">
        <v>1166</v>
      </c>
    </row>
    <row r="273" spans="1:7" hidden="1" x14ac:dyDescent="0.45">
      <c r="A273" s="2">
        <v>262</v>
      </c>
      <c r="B273" s="2" t="s">
        <v>650</v>
      </c>
      <c r="C273" s="2"/>
      <c r="D273" s="2"/>
      <c r="E273" s="2" t="s">
        <v>40</v>
      </c>
      <c r="F273" s="2" t="s">
        <v>651</v>
      </c>
      <c r="G273" t="s">
        <v>1166</v>
      </c>
    </row>
    <row r="274" spans="1:7" hidden="1" x14ac:dyDescent="0.45">
      <c r="A274" s="2">
        <v>263</v>
      </c>
      <c r="B274" s="2" t="s">
        <v>652</v>
      </c>
      <c r="C274" s="2"/>
      <c r="D274" s="2"/>
      <c r="E274" s="2" t="s">
        <v>40</v>
      </c>
      <c r="F274" s="2" t="s">
        <v>653</v>
      </c>
      <c r="G274" t="s">
        <v>1166</v>
      </c>
    </row>
    <row r="275" spans="1:7" hidden="1" x14ac:dyDescent="0.45">
      <c r="A275" s="2">
        <v>264</v>
      </c>
      <c r="B275" s="2" t="s">
        <v>654</v>
      </c>
      <c r="C275" s="2"/>
      <c r="D275" s="2"/>
      <c r="E275" s="2" t="s">
        <v>40</v>
      </c>
      <c r="F275" s="2">
        <v>96387</v>
      </c>
      <c r="G275" t="s">
        <v>1166</v>
      </c>
    </row>
    <row r="276" spans="1:7" hidden="1" x14ac:dyDescent="0.45">
      <c r="A276" s="2">
        <v>265</v>
      </c>
      <c r="B276" s="2" t="s">
        <v>656</v>
      </c>
      <c r="C276" s="2"/>
      <c r="D276" s="2"/>
      <c r="E276" s="2" t="s">
        <v>659</v>
      </c>
      <c r="F276" s="2"/>
      <c r="G276" t="s">
        <v>1166</v>
      </c>
    </row>
    <row r="277" spans="1:7" hidden="1" x14ac:dyDescent="0.45">
      <c r="A277" s="2">
        <v>266</v>
      </c>
      <c r="B277" s="2" t="s">
        <v>661</v>
      </c>
      <c r="C277" s="2"/>
      <c r="D277" s="2"/>
      <c r="E277" s="2" t="s">
        <v>659</v>
      </c>
      <c r="F277" s="2"/>
      <c r="G277" t="s">
        <v>1166</v>
      </c>
    </row>
    <row r="278" spans="1:7" hidden="1" x14ac:dyDescent="0.45">
      <c r="A278" s="2">
        <v>267</v>
      </c>
      <c r="B278" s="2" t="s">
        <v>662</v>
      </c>
      <c r="C278" s="2"/>
      <c r="D278" s="2"/>
      <c r="E278" s="2" t="s">
        <v>29</v>
      </c>
      <c r="F278" s="2">
        <v>1001295125</v>
      </c>
      <c r="G278" t="s">
        <v>1166</v>
      </c>
    </row>
    <row r="279" spans="1:7" hidden="1" x14ac:dyDescent="0.45">
      <c r="A279" s="2">
        <v>268</v>
      </c>
      <c r="B279" s="2" t="s">
        <v>665</v>
      </c>
      <c r="C279" s="2"/>
      <c r="D279" s="2"/>
      <c r="E279" s="2" t="s">
        <v>101</v>
      </c>
      <c r="F279" s="2" t="s">
        <v>667</v>
      </c>
      <c r="G279" t="s">
        <v>1166</v>
      </c>
    </row>
    <row r="280" spans="1:7" hidden="1" x14ac:dyDescent="0.45">
      <c r="A280" s="2">
        <v>269</v>
      </c>
      <c r="B280" s="2" t="s">
        <v>668</v>
      </c>
      <c r="C280" s="2"/>
      <c r="D280" s="2"/>
      <c r="E280" s="2" t="s">
        <v>29</v>
      </c>
      <c r="F280" s="2">
        <v>404383</v>
      </c>
      <c r="G280" t="s">
        <v>1166</v>
      </c>
    </row>
    <row r="281" spans="1:7" hidden="1" x14ac:dyDescent="0.45">
      <c r="A281" s="2">
        <v>270</v>
      </c>
      <c r="B281" s="2" t="s">
        <v>669</v>
      </c>
      <c r="C281" s="2"/>
      <c r="D281" s="2"/>
      <c r="E281" s="2" t="s">
        <v>29</v>
      </c>
      <c r="F281" s="2">
        <v>405227</v>
      </c>
      <c r="G281" t="s">
        <v>1166</v>
      </c>
    </row>
    <row r="282" spans="1:7" hidden="1" x14ac:dyDescent="0.45">
      <c r="A282" s="2">
        <v>271</v>
      </c>
      <c r="B282" s="2" t="s">
        <v>670</v>
      </c>
      <c r="C282" s="2"/>
      <c r="D282" s="2"/>
      <c r="E282" s="2" t="s">
        <v>29</v>
      </c>
      <c r="F282" s="2">
        <v>406095</v>
      </c>
      <c r="G282" t="s">
        <v>1166</v>
      </c>
    </row>
    <row r="283" spans="1:7" hidden="1" x14ac:dyDescent="0.45">
      <c r="A283" s="2">
        <v>272</v>
      </c>
      <c r="B283" s="2" t="s">
        <v>672</v>
      </c>
      <c r="C283" s="2"/>
      <c r="D283" s="2"/>
      <c r="E283" s="2" t="s">
        <v>29</v>
      </c>
      <c r="F283" s="2">
        <v>405639</v>
      </c>
      <c r="G283" t="s">
        <v>1166</v>
      </c>
    </row>
    <row r="284" spans="1:7" hidden="1" x14ac:dyDescent="0.45">
      <c r="A284" s="2">
        <v>273</v>
      </c>
      <c r="B284" s="2" t="s">
        <v>674</v>
      </c>
      <c r="C284" s="2"/>
      <c r="D284" s="2"/>
      <c r="E284" s="2" t="s">
        <v>29</v>
      </c>
      <c r="F284" s="2" t="s">
        <v>675</v>
      </c>
      <c r="G284" t="s">
        <v>1166</v>
      </c>
    </row>
    <row r="285" spans="1:7" hidden="1" x14ac:dyDescent="0.45">
      <c r="A285" s="2">
        <v>274</v>
      </c>
      <c r="B285" s="2" t="s">
        <v>676</v>
      </c>
      <c r="C285" s="2"/>
      <c r="D285" s="2"/>
      <c r="E285" s="2" t="s">
        <v>29</v>
      </c>
      <c r="F285" s="2">
        <v>406365</v>
      </c>
      <c r="G285" t="s">
        <v>1166</v>
      </c>
    </row>
    <row r="286" spans="1:7" hidden="1" x14ac:dyDescent="0.45">
      <c r="A286" s="2">
        <v>275</v>
      </c>
      <c r="B286" s="2" t="s">
        <v>677</v>
      </c>
      <c r="C286" s="2"/>
      <c r="D286" s="2"/>
      <c r="E286" s="2" t="s">
        <v>29</v>
      </c>
      <c r="F286" s="2">
        <v>1003142694</v>
      </c>
      <c r="G286" t="s">
        <v>1166</v>
      </c>
    </row>
    <row r="287" spans="1:7" hidden="1" x14ac:dyDescent="0.45">
      <c r="A287" s="2">
        <v>276</v>
      </c>
      <c r="B287" s="2" t="s">
        <v>679</v>
      </c>
      <c r="C287" s="2"/>
      <c r="D287" s="2"/>
      <c r="E287" s="2" t="s">
        <v>505</v>
      </c>
      <c r="F287" s="2" t="s">
        <v>680</v>
      </c>
      <c r="G287" t="s">
        <v>1166</v>
      </c>
    </row>
    <row r="288" spans="1:7" hidden="1" x14ac:dyDescent="0.45">
      <c r="A288" s="2">
        <v>277</v>
      </c>
      <c r="B288" s="2" t="s">
        <v>681</v>
      </c>
      <c r="C288" s="2"/>
      <c r="D288" s="2"/>
      <c r="E288" s="2" t="s">
        <v>505</v>
      </c>
      <c r="F288" s="2" t="s">
        <v>683</v>
      </c>
      <c r="G288" t="s">
        <v>1166</v>
      </c>
    </row>
    <row r="289" spans="1:7" hidden="1" x14ac:dyDescent="0.45">
      <c r="A289" s="2">
        <v>278</v>
      </c>
      <c r="B289" s="2" t="s">
        <v>684</v>
      </c>
      <c r="C289" s="2"/>
      <c r="D289" s="2"/>
      <c r="E289" s="2" t="s">
        <v>29</v>
      </c>
      <c r="F289" s="2">
        <v>698630</v>
      </c>
      <c r="G289" t="s">
        <v>1166</v>
      </c>
    </row>
    <row r="290" spans="1:7" hidden="1" x14ac:dyDescent="0.45">
      <c r="A290" s="2">
        <v>279</v>
      </c>
      <c r="B290" s="2" t="s">
        <v>686</v>
      </c>
      <c r="C290" s="2"/>
      <c r="D290" s="2"/>
      <c r="E290" s="2" t="s">
        <v>29</v>
      </c>
      <c r="F290" s="2">
        <v>1002339401</v>
      </c>
      <c r="G290" t="s">
        <v>1166</v>
      </c>
    </row>
    <row r="291" spans="1:7" hidden="1" x14ac:dyDescent="0.45">
      <c r="A291" s="2">
        <v>280</v>
      </c>
      <c r="B291" s="2" t="s">
        <v>688</v>
      </c>
      <c r="C291" s="2"/>
      <c r="D291" s="2"/>
      <c r="E291" s="2" t="s">
        <v>29</v>
      </c>
      <c r="F291" s="2">
        <v>1002245884</v>
      </c>
      <c r="G291" t="s">
        <v>1166</v>
      </c>
    </row>
    <row r="292" spans="1:7" hidden="1" x14ac:dyDescent="0.45">
      <c r="A292" s="2">
        <v>281</v>
      </c>
      <c r="B292" s="2" t="s">
        <v>689</v>
      </c>
      <c r="C292" s="2"/>
      <c r="D292" s="2"/>
      <c r="E292" s="2" t="s">
        <v>353</v>
      </c>
      <c r="F292" s="2" t="s">
        <v>691</v>
      </c>
      <c r="G292" t="s">
        <v>1166</v>
      </c>
    </row>
    <row r="293" spans="1:7" hidden="1" x14ac:dyDescent="0.45">
      <c r="A293" s="2">
        <v>282</v>
      </c>
      <c r="B293" s="2" t="s">
        <v>692</v>
      </c>
      <c r="C293" s="2"/>
      <c r="D293" s="2"/>
      <c r="E293" s="2" t="s">
        <v>40</v>
      </c>
      <c r="F293" s="2" t="s">
        <v>693</v>
      </c>
      <c r="G293" t="s">
        <v>1166</v>
      </c>
    </row>
    <row r="294" spans="1:7" hidden="1" x14ac:dyDescent="0.45">
      <c r="A294" s="2">
        <v>283</v>
      </c>
      <c r="B294" s="2" t="s">
        <v>694</v>
      </c>
      <c r="C294" s="2"/>
      <c r="D294" s="2"/>
      <c r="E294" s="2" t="s">
        <v>353</v>
      </c>
      <c r="F294" s="2" t="s">
        <v>697</v>
      </c>
      <c r="G294" t="s">
        <v>1166</v>
      </c>
    </row>
    <row r="295" spans="1:7" hidden="1" x14ac:dyDescent="0.45">
      <c r="A295" s="2">
        <v>284</v>
      </c>
      <c r="B295" s="2" t="s">
        <v>699</v>
      </c>
      <c r="C295" s="2"/>
      <c r="D295" s="2"/>
      <c r="E295" s="2" t="s">
        <v>702</v>
      </c>
      <c r="F295" s="2" t="s">
        <v>703</v>
      </c>
      <c r="G295" t="s">
        <v>1166</v>
      </c>
    </row>
    <row r="296" spans="1:7" hidden="1" x14ac:dyDescent="0.45">
      <c r="A296" s="2">
        <v>285</v>
      </c>
      <c r="B296" s="2" t="s">
        <v>704</v>
      </c>
      <c r="C296" s="2"/>
      <c r="D296" s="2"/>
      <c r="E296" s="2" t="s">
        <v>702</v>
      </c>
      <c r="F296" s="2" t="s">
        <v>706</v>
      </c>
      <c r="G296" t="s">
        <v>1166</v>
      </c>
    </row>
    <row r="297" spans="1:7" hidden="1" x14ac:dyDescent="0.45">
      <c r="A297" s="2">
        <v>286</v>
      </c>
      <c r="B297" s="2" t="s">
        <v>707</v>
      </c>
      <c r="C297" s="2"/>
      <c r="D297" s="2"/>
      <c r="E297" s="2" t="s">
        <v>391</v>
      </c>
      <c r="F297" s="2" t="s">
        <v>708</v>
      </c>
      <c r="G297" t="s">
        <v>1166</v>
      </c>
    </row>
    <row r="298" spans="1:7" hidden="1" x14ac:dyDescent="0.45">
      <c r="A298" s="2">
        <v>287</v>
      </c>
      <c r="B298" s="2" t="s">
        <v>709</v>
      </c>
      <c r="C298" s="2"/>
      <c r="D298" s="2"/>
      <c r="E298" s="2" t="s">
        <v>391</v>
      </c>
      <c r="F298" s="2" t="s">
        <v>710</v>
      </c>
      <c r="G298" t="s">
        <v>1166</v>
      </c>
    </row>
    <row r="299" spans="1:7" hidden="1" x14ac:dyDescent="0.45">
      <c r="A299" s="2">
        <v>288</v>
      </c>
      <c r="B299" s="2" t="s">
        <v>711</v>
      </c>
      <c r="C299" s="2"/>
      <c r="D299" s="2"/>
      <c r="E299" s="2" t="s">
        <v>29</v>
      </c>
      <c r="F299" s="2">
        <v>440546</v>
      </c>
      <c r="G299" t="s">
        <v>1166</v>
      </c>
    </row>
    <row r="300" spans="1:7" hidden="1" x14ac:dyDescent="0.45">
      <c r="A300" s="2">
        <v>289</v>
      </c>
      <c r="B300" s="2" t="s">
        <v>713</v>
      </c>
      <c r="C300" s="2"/>
      <c r="D300" s="2"/>
      <c r="E300" s="2" t="s">
        <v>29</v>
      </c>
      <c r="F300" s="2">
        <v>175827</v>
      </c>
      <c r="G300" t="s">
        <v>1166</v>
      </c>
    </row>
    <row r="301" spans="1:7" hidden="1" x14ac:dyDescent="0.45">
      <c r="A301" s="2">
        <v>290</v>
      </c>
      <c r="B301" s="2" t="s">
        <v>716</v>
      </c>
      <c r="C301" s="2"/>
      <c r="D301" s="2"/>
      <c r="E301" s="2" t="s">
        <v>101</v>
      </c>
      <c r="F301" s="2" t="s">
        <v>717</v>
      </c>
      <c r="G301" t="s">
        <v>1166</v>
      </c>
    </row>
    <row r="302" spans="1:7" hidden="1" x14ac:dyDescent="0.45">
      <c r="A302" s="2">
        <v>291</v>
      </c>
      <c r="B302" s="2" t="s">
        <v>718</v>
      </c>
      <c r="C302" s="2"/>
      <c r="D302" s="2"/>
      <c r="E302" s="2" t="s">
        <v>40</v>
      </c>
      <c r="F302" s="2" t="s">
        <v>720</v>
      </c>
      <c r="G302" t="s">
        <v>1166</v>
      </c>
    </row>
    <row r="303" spans="1:7" hidden="1" x14ac:dyDescent="0.45">
      <c r="A303" s="2">
        <v>292</v>
      </c>
      <c r="B303" s="2" t="s">
        <v>721</v>
      </c>
      <c r="C303" s="2"/>
      <c r="D303" s="2"/>
      <c r="E303" s="2" t="s">
        <v>40</v>
      </c>
      <c r="F303" s="2">
        <v>447020</v>
      </c>
      <c r="G303" t="s">
        <v>1166</v>
      </c>
    </row>
    <row r="304" spans="1:7" hidden="1" x14ac:dyDescent="0.45">
      <c r="A304" s="2">
        <v>293</v>
      </c>
      <c r="B304" s="2" t="s">
        <v>722</v>
      </c>
      <c r="C304" s="2"/>
      <c r="D304" s="2"/>
      <c r="E304" s="2" t="s">
        <v>40</v>
      </c>
      <c r="F304" s="2" t="s">
        <v>724</v>
      </c>
      <c r="G304" t="s">
        <v>1166</v>
      </c>
    </row>
    <row r="305" spans="1:7" hidden="1" x14ac:dyDescent="0.45">
      <c r="A305" s="2">
        <v>294</v>
      </c>
      <c r="B305" s="2" t="s">
        <v>725</v>
      </c>
      <c r="C305" s="2"/>
      <c r="D305" s="2"/>
      <c r="E305" s="2" t="s">
        <v>40</v>
      </c>
      <c r="F305" s="2" t="s">
        <v>728</v>
      </c>
      <c r="G305" t="s">
        <v>1166</v>
      </c>
    </row>
    <row r="306" spans="1:7" hidden="1" x14ac:dyDescent="0.45">
      <c r="A306" s="2">
        <v>295</v>
      </c>
      <c r="B306" s="2" t="s">
        <v>729</v>
      </c>
      <c r="C306" s="2"/>
      <c r="D306" s="2"/>
      <c r="E306" s="2" t="s">
        <v>731</v>
      </c>
      <c r="F306" s="2"/>
      <c r="G306" t="s">
        <v>1166</v>
      </c>
    </row>
    <row r="307" spans="1:7" hidden="1" x14ac:dyDescent="0.45">
      <c r="A307" s="2">
        <v>296</v>
      </c>
      <c r="B307" s="2" t="s">
        <v>732</v>
      </c>
      <c r="C307" s="2"/>
      <c r="D307" s="2"/>
      <c r="E307" s="2" t="s">
        <v>494</v>
      </c>
      <c r="F307" s="2" t="s">
        <v>734</v>
      </c>
      <c r="G307" t="s">
        <v>1166</v>
      </c>
    </row>
    <row r="308" spans="1:7" hidden="1" x14ac:dyDescent="0.45">
      <c r="A308" s="2">
        <v>297</v>
      </c>
      <c r="B308" s="2" t="s">
        <v>736</v>
      </c>
      <c r="C308" s="2"/>
      <c r="D308" s="2"/>
      <c r="E308" s="2" t="s">
        <v>494</v>
      </c>
      <c r="F308" s="2" t="s">
        <v>738</v>
      </c>
      <c r="G308" t="s">
        <v>1166</v>
      </c>
    </row>
    <row r="309" spans="1:7" hidden="1" x14ac:dyDescent="0.45">
      <c r="A309" s="2">
        <v>298</v>
      </c>
      <c r="B309" s="2" t="s">
        <v>739</v>
      </c>
      <c r="C309" s="2"/>
      <c r="D309" s="2"/>
      <c r="E309" s="2" t="s">
        <v>494</v>
      </c>
      <c r="F309" s="2" t="s">
        <v>741</v>
      </c>
      <c r="G309" t="s">
        <v>1166</v>
      </c>
    </row>
    <row r="310" spans="1:7" hidden="1" x14ac:dyDescent="0.45">
      <c r="A310" s="2">
        <v>299</v>
      </c>
      <c r="B310" s="2" t="s">
        <v>742</v>
      </c>
      <c r="C310" s="2"/>
      <c r="D310" s="2"/>
      <c r="E310" s="2" t="s">
        <v>40</v>
      </c>
      <c r="F310" s="2" t="s">
        <v>744</v>
      </c>
      <c r="G310" t="s">
        <v>1166</v>
      </c>
    </row>
    <row r="311" spans="1:7" hidden="1" x14ac:dyDescent="0.45">
      <c r="A311" s="2">
        <v>300</v>
      </c>
      <c r="B311" s="2" t="s">
        <v>745</v>
      </c>
      <c r="C311" s="2"/>
      <c r="D311" s="2"/>
      <c r="E311" s="2" t="s">
        <v>494</v>
      </c>
      <c r="F311" s="2" t="s">
        <v>747</v>
      </c>
      <c r="G311" t="s">
        <v>1166</v>
      </c>
    </row>
    <row r="312" spans="1:7" hidden="1" x14ac:dyDescent="0.45">
      <c r="A312" s="2">
        <v>301</v>
      </c>
      <c r="B312" s="2" t="s">
        <v>748</v>
      </c>
      <c r="C312" s="2"/>
      <c r="D312" s="2"/>
      <c r="E312" s="2" t="s">
        <v>750</v>
      </c>
      <c r="F312" s="2">
        <v>2530001</v>
      </c>
      <c r="G312" t="s">
        <v>1166</v>
      </c>
    </row>
    <row r="313" spans="1:7" hidden="1" x14ac:dyDescent="0.45">
      <c r="A313" s="2">
        <v>302</v>
      </c>
      <c r="B313" s="2" t="s">
        <v>751</v>
      </c>
      <c r="C313" s="2"/>
      <c r="D313" s="2"/>
      <c r="E313" s="2" t="s">
        <v>750</v>
      </c>
      <c r="F313" s="2">
        <v>2530003</v>
      </c>
      <c r="G313" t="s">
        <v>1166</v>
      </c>
    </row>
    <row r="314" spans="1:7" hidden="1" x14ac:dyDescent="0.45">
      <c r="A314" s="2">
        <v>303</v>
      </c>
      <c r="B314" s="2" t="s">
        <v>753</v>
      </c>
      <c r="C314" s="2"/>
      <c r="D314" s="2"/>
      <c r="E314" s="2" t="s">
        <v>101</v>
      </c>
      <c r="F314" s="2">
        <v>2424</v>
      </c>
      <c r="G314" t="s">
        <v>1166</v>
      </c>
    </row>
    <row r="315" spans="1:7" hidden="1" x14ac:dyDescent="0.45">
      <c r="A315" s="2">
        <v>304</v>
      </c>
      <c r="B315" s="2" t="s">
        <v>755</v>
      </c>
      <c r="C315" s="2"/>
      <c r="D315" s="2"/>
      <c r="E315" s="2" t="s">
        <v>40</v>
      </c>
      <c r="F315" s="2" t="s">
        <v>757</v>
      </c>
      <c r="G315" t="s">
        <v>1166</v>
      </c>
    </row>
    <row r="316" spans="1:7" hidden="1" x14ac:dyDescent="0.45">
      <c r="A316" s="2">
        <v>305</v>
      </c>
      <c r="B316" s="2" t="s">
        <v>758</v>
      </c>
      <c r="C316" s="2"/>
      <c r="D316" s="2"/>
      <c r="E316" s="2" t="s">
        <v>29</v>
      </c>
      <c r="F316" s="2" t="s">
        <v>760</v>
      </c>
      <c r="G316" t="s">
        <v>1166</v>
      </c>
    </row>
    <row r="317" spans="1:7" hidden="1" x14ac:dyDescent="0.45">
      <c r="A317" s="2">
        <v>306</v>
      </c>
      <c r="B317" s="2" t="s">
        <v>761</v>
      </c>
      <c r="C317" s="2"/>
      <c r="D317" s="2"/>
      <c r="E317" s="2" t="s">
        <v>29</v>
      </c>
      <c r="F317" s="2" t="s">
        <v>763</v>
      </c>
      <c r="G317" t="s">
        <v>1166</v>
      </c>
    </row>
    <row r="318" spans="1:7" hidden="1" x14ac:dyDescent="0.45">
      <c r="A318" s="2">
        <v>307</v>
      </c>
      <c r="B318" s="2" t="s">
        <v>764</v>
      </c>
      <c r="C318" s="2"/>
      <c r="D318" s="2"/>
      <c r="E318" s="2" t="s">
        <v>101</v>
      </c>
      <c r="F318" s="2" t="s">
        <v>766</v>
      </c>
      <c r="G318" t="s">
        <v>1166</v>
      </c>
    </row>
    <row r="319" spans="1:7" hidden="1" x14ac:dyDescent="0.45">
      <c r="A319" s="2">
        <v>308</v>
      </c>
      <c r="B319" s="2" t="s">
        <v>767</v>
      </c>
      <c r="C319" s="2"/>
      <c r="D319" s="2"/>
      <c r="E319" s="2" t="s">
        <v>101</v>
      </c>
      <c r="F319" s="2" t="s">
        <v>769</v>
      </c>
      <c r="G319" t="s">
        <v>1166</v>
      </c>
    </row>
    <row r="320" spans="1:7" hidden="1" x14ac:dyDescent="0.45">
      <c r="A320" s="2">
        <v>309</v>
      </c>
      <c r="B320" s="2" t="s">
        <v>770</v>
      </c>
      <c r="C320" s="2"/>
      <c r="D320" s="2"/>
      <c r="E320" s="2" t="s">
        <v>101</v>
      </c>
      <c r="F320" s="2" t="s">
        <v>771</v>
      </c>
      <c r="G320" t="s">
        <v>1166</v>
      </c>
    </row>
    <row r="321" spans="1:7" hidden="1" x14ac:dyDescent="0.45">
      <c r="A321" s="2">
        <v>310</v>
      </c>
      <c r="B321" s="2" t="s">
        <v>772</v>
      </c>
      <c r="C321" s="2"/>
      <c r="D321" s="2"/>
      <c r="E321" s="2" t="s">
        <v>101</v>
      </c>
      <c r="F321" s="2">
        <v>7911</v>
      </c>
      <c r="G321" t="s">
        <v>1166</v>
      </c>
    </row>
    <row r="322" spans="1:7" x14ac:dyDescent="0.45">
      <c r="A322" s="2">
        <v>311</v>
      </c>
      <c r="B322" s="2" t="s">
        <v>776</v>
      </c>
      <c r="C322" s="2"/>
      <c r="D322" s="2"/>
      <c r="E322" s="2" t="s">
        <v>312</v>
      </c>
      <c r="F322" s="2" t="s">
        <v>306</v>
      </c>
      <c r="G322" t="s">
        <v>1167</v>
      </c>
    </row>
    <row r="323" spans="1:7" hidden="1" x14ac:dyDescent="0.45">
      <c r="A323" s="2">
        <v>312</v>
      </c>
      <c r="B323" s="2" t="s">
        <v>780</v>
      </c>
      <c r="C323" s="2"/>
      <c r="D323" s="2"/>
      <c r="E323" s="2" t="s">
        <v>101</v>
      </c>
      <c r="F323" s="2" t="s">
        <v>781</v>
      </c>
      <c r="G323" t="s">
        <v>1166</v>
      </c>
    </row>
    <row r="324" spans="1:7" hidden="1" x14ac:dyDescent="0.45">
      <c r="A324" s="2">
        <v>313</v>
      </c>
      <c r="B324" s="2" t="s">
        <v>783</v>
      </c>
      <c r="C324" s="2"/>
      <c r="D324" s="2"/>
      <c r="E324" s="2" t="s">
        <v>29</v>
      </c>
      <c r="F324" s="2">
        <v>944327</v>
      </c>
      <c r="G324" t="s">
        <v>1166</v>
      </c>
    </row>
    <row r="325" spans="1:7" hidden="1" x14ac:dyDescent="0.45">
      <c r="A325" s="2">
        <v>314</v>
      </c>
      <c r="B325" s="2" t="s">
        <v>785</v>
      </c>
      <c r="C325" s="2"/>
      <c r="D325" s="2"/>
      <c r="E325" s="2" t="s">
        <v>29</v>
      </c>
      <c r="F325" s="2">
        <v>462810</v>
      </c>
      <c r="G325" t="s">
        <v>1166</v>
      </c>
    </row>
    <row r="326" spans="1:7" hidden="1" x14ac:dyDescent="0.45">
      <c r="A326" s="2">
        <v>315</v>
      </c>
      <c r="B326" s="2" t="s">
        <v>787</v>
      </c>
      <c r="C326" s="2"/>
      <c r="D326" s="2"/>
      <c r="E326" s="2" t="s">
        <v>312</v>
      </c>
      <c r="F326" s="2" t="s">
        <v>306</v>
      </c>
      <c r="G326" t="s">
        <v>1166</v>
      </c>
    </row>
    <row r="327" spans="1:7" hidden="1" x14ac:dyDescent="0.45">
      <c r="A327" s="2">
        <v>316</v>
      </c>
      <c r="B327" s="2" t="s">
        <v>788</v>
      </c>
      <c r="C327" s="2"/>
      <c r="D327" s="2"/>
      <c r="E327" s="2" t="s">
        <v>101</v>
      </c>
      <c r="F327" s="2" t="s">
        <v>789</v>
      </c>
      <c r="G327" t="s">
        <v>1166</v>
      </c>
    </row>
    <row r="328" spans="1:7" hidden="1" x14ac:dyDescent="0.45">
      <c r="A328" s="2">
        <v>317</v>
      </c>
      <c r="B328" s="2" t="s">
        <v>790</v>
      </c>
      <c r="C328" s="2"/>
      <c r="D328" s="2"/>
      <c r="E328" s="2" t="s">
        <v>101</v>
      </c>
      <c r="F328" s="2" t="s">
        <v>791</v>
      </c>
      <c r="G328" t="s">
        <v>1166</v>
      </c>
    </row>
    <row r="329" spans="1:7" hidden="1" x14ac:dyDescent="0.45">
      <c r="A329" s="2">
        <v>318</v>
      </c>
      <c r="B329" s="2" t="s">
        <v>792</v>
      </c>
      <c r="C329" s="2"/>
      <c r="D329" s="2"/>
      <c r="E329" s="2" t="s">
        <v>101</v>
      </c>
      <c r="F329" s="2" t="s">
        <v>793</v>
      </c>
      <c r="G329" t="s">
        <v>1166</v>
      </c>
    </row>
    <row r="330" spans="1:7" hidden="1" x14ac:dyDescent="0.45">
      <c r="A330" s="2">
        <v>319</v>
      </c>
      <c r="B330" s="2" t="s">
        <v>794</v>
      </c>
      <c r="C330" s="2"/>
      <c r="D330" s="2"/>
      <c r="E330" s="2" t="s">
        <v>101</v>
      </c>
      <c r="F330" s="2" t="s">
        <v>796</v>
      </c>
      <c r="G330" t="s">
        <v>1166</v>
      </c>
    </row>
    <row r="331" spans="1:7" hidden="1" x14ac:dyDescent="0.45">
      <c r="A331" s="2">
        <v>320</v>
      </c>
      <c r="B331" s="2" t="s">
        <v>797</v>
      </c>
      <c r="C331" s="2"/>
      <c r="D331" s="2"/>
      <c r="E331" s="2" t="s">
        <v>101</v>
      </c>
      <c r="F331" s="2" t="s">
        <v>798</v>
      </c>
      <c r="G331" t="s">
        <v>1166</v>
      </c>
    </row>
    <row r="332" spans="1:7" hidden="1" x14ac:dyDescent="0.45">
      <c r="A332" s="2">
        <v>321</v>
      </c>
      <c r="B332" s="2" t="s">
        <v>799</v>
      </c>
      <c r="C332" s="2"/>
      <c r="D332" s="2"/>
      <c r="E332" s="2" t="s">
        <v>101</v>
      </c>
      <c r="F332" s="2" t="s">
        <v>800</v>
      </c>
      <c r="G332" t="s">
        <v>1166</v>
      </c>
    </row>
    <row r="333" spans="1:7" hidden="1" x14ac:dyDescent="0.45">
      <c r="A333" s="2">
        <v>322</v>
      </c>
      <c r="B333" s="2" t="s">
        <v>801</v>
      </c>
      <c r="C333" s="2"/>
      <c r="D333" s="2"/>
      <c r="E333" s="2" t="s">
        <v>101</v>
      </c>
      <c r="F333" s="2" t="s">
        <v>802</v>
      </c>
      <c r="G333" t="s">
        <v>1166</v>
      </c>
    </row>
    <row r="334" spans="1:7" hidden="1" x14ac:dyDescent="0.45">
      <c r="A334" s="2">
        <v>323</v>
      </c>
      <c r="B334" s="2" t="s">
        <v>803</v>
      </c>
      <c r="C334" s="2"/>
      <c r="D334" s="2"/>
      <c r="E334" s="2" t="s">
        <v>806</v>
      </c>
      <c r="F334" s="2" t="s">
        <v>807</v>
      </c>
      <c r="G334" t="s">
        <v>1166</v>
      </c>
    </row>
    <row r="335" spans="1:7" hidden="1" x14ac:dyDescent="0.45">
      <c r="A335" s="2">
        <v>324</v>
      </c>
      <c r="B335" s="2" t="s">
        <v>809</v>
      </c>
      <c r="C335" s="2"/>
      <c r="D335" s="2"/>
      <c r="E335" s="2" t="s">
        <v>101</v>
      </c>
      <c r="F335" s="2" t="s">
        <v>812</v>
      </c>
      <c r="G335" t="s">
        <v>1166</v>
      </c>
    </row>
    <row r="336" spans="1:7" x14ac:dyDescent="0.45">
      <c r="A336" s="2">
        <v>325</v>
      </c>
      <c r="B336" s="2" t="s">
        <v>815</v>
      </c>
      <c r="C336" s="2"/>
      <c r="D336" s="2"/>
      <c r="E336" s="2" t="s">
        <v>312</v>
      </c>
      <c r="F336" s="2" t="s">
        <v>306</v>
      </c>
      <c r="G336" t="s">
        <v>1167</v>
      </c>
    </row>
    <row r="337" spans="1:7" x14ac:dyDescent="0.45">
      <c r="A337" s="2">
        <v>326</v>
      </c>
      <c r="B337" s="2" t="s">
        <v>817</v>
      </c>
      <c r="C337" s="2"/>
      <c r="D337" s="2"/>
      <c r="E337" s="2" t="s">
        <v>312</v>
      </c>
      <c r="F337" s="2" t="s">
        <v>306</v>
      </c>
      <c r="G337" t="s">
        <v>1167</v>
      </c>
    </row>
    <row r="338" spans="1:7" x14ac:dyDescent="0.45">
      <c r="A338" s="2">
        <v>327</v>
      </c>
      <c r="B338" s="2" t="s">
        <v>820</v>
      </c>
      <c r="C338" s="2"/>
      <c r="D338" s="2"/>
      <c r="E338" s="2" t="s">
        <v>101</v>
      </c>
      <c r="F338" s="2" t="s">
        <v>822</v>
      </c>
      <c r="G338" t="s">
        <v>1167</v>
      </c>
    </row>
    <row r="339" spans="1:7" x14ac:dyDescent="0.45">
      <c r="A339" s="2">
        <v>328</v>
      </c>
      <c r="B339" s="2" t="s">
        <v>824</v>
      </c>
      <c r="C339" s="2"/>
      <c r="D339" s="2"/>
      <c r="E339" s="2" t="s">
        <v>101</v>
      </c>
      <c r="F339" s="2" t="s">
        <v>826</v>
      </c>
      <c r="G339" t="s">
        <v>1167</v>
      </c>
    </row>
    <row r="340" spans="1:7" x14ac:dyDescent="0.45">
      <c r="A340" s="2">
        <v>329</v>
      </c>
      <c r="B340" s="2" t="s">
        <v>827</v>
      </c>
      <c r="C340" s="2"/>
      <c r="D340" s="2"/>
      <c r="E340" s="2" t="s">
        <v>101</v>
      </c>
      <c r="F340" s="2" t="s">
        <v>828</v>
      </c>
      <c r="G340" t="s">
        <v>1167</v>
      </c>
    </row>
    <row r="341" spans="1:7" x14ac:dyDescent="0.45">
      <c r="A341" s="2">
        <v>330</v>
      </c>
      <c r="B341" s="2" t="s">
        <v>829</v>
      </c>
      <c r="C341" s="2"/>
      <c r="D341" s="2"/>
      <c r="E341" s="2" t="s">
        <v>312</v>
      </c>
      <c r="F341" s="2" t="s">
        <v>306</v>
      </c>
      <c r="G341" t="s">
        <v>1167</v>
      </c>
    </row>
    <row r="342" spans="1:7" x14ac:dyDescent="0.45">
      <c r="A342" s="2">
        <v>331</v>
      </c>
      <c r="B342" s="2" t="s">
        <v>831</v>
      </c>
      <c r="C342" s="2"/>
      <c r="D342" s="2"/>
      <c r="E342" s="2" t="s">
        <v>312</v>
      </c>
      <c r="F342" s="2" t="s">
        <v>306</v>
      </c>
      <c r="G342" t="s">
        <v>1167</v>
      </c>
    </row>
  </sheetData>
  <pageMargins left="0.7" right="0.7" top="0.75" bottom="0.75" header="0.3" footer="0.3"/>
  <drawing r:id="rId1"/>
  <legacyDrawing r:id="rId2"/>
  <controls>
    <mc:AlternateContent xmlns:mc="http://schemas.openxmlformats.org/markup-compatibility/2006">
      <mc:Choice Requires="x14">
        <control shapeId="7169" r:id="rId3" name="ImagePart">
          <controlPr defaultSize="0" autoLine="0" autoPict="0" r:id="rId4">
            <anchor moveWithCells="1">
              <from>
                <xdr:col>1</xdr:col>
                <xdr:colOff>157163</xdr:colOff>
                <xdr:row>1</xdr:row>
                <xdr:rowOff>38100</xdr:rowOff>
              </from>
              <to>
                <xdr:col>2</xdr:col>
                <xdr:colOff>0</xdr:colOff>
                <xdr:row>7</xdr:row>
                <xdr:rowOff>200025</xdr:rowOff>
              </to>
            </anchor>
          </controlPr>
        </control>
      </mc:Choice>
      <mc:Fallback>
        <control shapeId="7169" r:id="rId3" name="ImagePart"/>
      </mc:Fallback>
    </mc:AlternateContent>
    <mc:AlternateContent xmlns:mc="http://schemas.openxmlformats.org/markup-compatibility/2006">
      <mc:Choice Requires="x14">
        <control shapeId="7171" r:id="rId5" name="CommandButtonPrevious">
          <controlPr defaultSize="0" autoLine="0" r:id="rId6">
            <anchor moveWithCells="1">
              <from>
                <xdr:col>1</xdr:col>
                <xdr:colOff>2614613</xdr:colOff>
                <xdr:row>4</xdr:row>
                <xdr:rowOff>14288</xdr:rowOff>
              </from>
              <to>
                <xdr:col>4</xdr:col>
                <xdr:colOff>1247775</xdr:colOff>
                <xdr:row>5</xdr:row>
                <xdr:rowOff>200025</xdr:rowOff>
              </to>
            </anchor>
          </controlPr>
        </control>
      </mc:Choice>
      <mc:Fallback>
        <control shapeId="7171" r:id="rId5" name="CommandButtonPrevious"/>
      </mc:Fallback>
    </mc:AlternateContent>
    <mc:AlternateContent xmlns:mc="http://schemas.openxmlformats.org/markup-compatibility/2006">
      <mc:Choice Requires="x14">
        <control shapeId="7172" r:id="rId7" name="CommandButtonDelete">
          <controlPr defaultSize="0" autoLine="0" r:id="rId8">
            <anchor moveWithCells="1">
              <from>
                <xdr:col>1</xdr:col>
                <xdr:colOff>2614613</xdr:colOff>
                <xdr:row>1</xdr:row>
                <xdr:rowOff>176213</xdr:rowOff>
              </from>
              <to>
                <xdr:col>4</xdr:col>
                <xdr:colOff>1243013</xdr:colOff>
                <xdr:row>4</xdr:row>
                <xdr:rowOff>28575</xdr:rowOff>
              </to>
            </anchor>
          </controlPr>
        </control>
      </mc:Choice>
      <mc:Fallback>
        <control shapeId="7172" r:id="rId7" name="CommandButtonDelete"/>
      </mc:Fallback>
    </mc:AlternateContent>
    <mc:AlternateContent xmlns:mc="http://schemas.openxmlformats.org/markup-compatibility/2006">
      <mc:Choice Requires="x14">
        <control shapeId="7173" r:id="rId9" name="CommandButtonNext">
          <controlPr defaultSize="0" autoLine="0" r:id="rId10">
            <anchor moveWithCells="1">
              <from>
                <xdr:col>1</xdr:col>
                <xdr:colOff>2628900</xdr:colOff>
                <xdr:row>6</xdr:row>
                <xdr:rowOff>14288</xdr:rowOff>
              </from>
              <to>
                <xdr:col>4</xdr:col>
                <xdr:colOff>1257300</xdr:colOff>
                <xdr:row>7</xdr:row>
                <xdr:rowOff>200025</xdr:rowOff>
              </to>
            </anchor>
          </controlPr>
        </control>
      </mc:Choice>
      <mc:Fallback>
        <control shapeId="7173" r:id="rId9" name="CommandButtonNext"/>
      </mc:Fallback>
    </mc:AlternateContent>
    <mc:AlternateContent xmlns:mc="http://schemas.openxmlformats.org/markup-compatibility/2006">
      <mc:Choice Requires="x14">
        <control shapeId="7174" r:id="rId11" name="TextDescription">
          <controlPr defaultSize="0" autoLine="0" autoPict="0" r:id="rId12">
            <anchor moveWithCells="1">
              <from>
                <xdr:col>1</xdr:col>
                <xdr:colOff>271463</xdr:colOff>
                <xdr:row>8</xdr:row>
                <xdr:rowOff>66675</xdr:rowOff>
              </from>
              <to>
                <xdr:col>5</xdr:col>
                <xdr:colOff>52388</xdr:colOff>
                <xdr:row>9</xdr:row>
                <xdr:rowOff>114300</xdr:rowOff>
              </to>
            </anchor>
          </controlPr>
        </control>
      </mc:Choice>
      <mc:Fallback>
        <control shapeId="7174" r:id="rId11" name="TextDescription"/>
      </mc:Fallback>
    </mc:AlternateContent>
  </controls>
  <tableParts count="1">
    <tablePart r:id="rId13"/>
  </tableParts>
  <extLst>
    <ext xmlns:x15="http://schemas.microsoft.com/office/spreadsheetml/2010/11/main" uri="{3A4CF648-6AED-40f4-86FF-DC5316D8AED3}">
      <x14:slicerList xmlns:x14="http://schemas.microsoft.com/office/spreadsheetml/2009/9/main">
        <x14:slicer r:id="rId14"/>
      </x14:slicerList>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DD473E-9C4C-4D4D-9331-92D27B2F5C0E}">
  <sheetPr codeName="Sheet3"/>
  <dimension ref="A1:V332"/>
  <sheetViews>
    <sheetView tabSelected="1" zoomScale="115" zoomScaleNormal="115" workbookViewId="0">
      <pane ySplit="2" topLeftCell="A7" activePane="bottomLeft" state="frozen"/>
      <selection pane="bottomLeft" activeCell="F1" sqref="F1"/>
    </sheetView>
  </sheetViews>
  <sheetFormatPr defaultRowHeight="14.25" x14ac:dyDescent="0.45"/>
  <cols>
    <col min="1" max="1" width="17.06640625" bestFit="1" customWidth="1"/>
    <col min="2" max="2" width="36.33203125" bestFit="1" customWidth="1"/>
    <col min="3" max="3" width="13.3984375" bestFit="1" customWidth="1"/>
    <col min="4" max="4" width="11.9296875" bestFit="1" customWidth="1"/>
    <col min="5" max="5" width="18.86328125" bestFit="1" customWidth="1"/>
    <col min="6" max="6" width="33.6640625" bestFit="1" customWidth="1"/>
    <col min="7" max="7" width="21.33203125" bestFit="1" customWidth="1"/>
    <col min="8" max="8" width="19.796875" bestFit="1" customWidth="1"/>
    <col min="9" max="9" width="67.06640625" bestFit="1" customWidth="1"/>
    <col min="10" max="10" width="22.59765625" bestFit="1" customWidth="1"/>
    <col min="11" max="11" width="18.53125" bestFit="1" customWidth="1"/>
    <col min="12" max="12" width="17.1328125" bestFit="1" customWidth="1"/>
    <col min="13" max="13" width="9.06640625" bestFit="1" customWidth="1"/>
    <col min="14" max="14" width="22.33203125" bestFit="1" customWidth="1"/>
    <col min="15" max="15" width="17" bestFit="1" customWidth="1"/>
    <col min="16" max="16" width="16.6640625" bestFit="1" customWidth="1"/>
    <col min="17" max="17" width="13.6640625" bestFit="1" customWidth="1"/>
    <col min="18" max="18" width="11.86328125" bestFit="1" customWidth="1"/>
    <col min="19" max="19" width="11.3984375" bestFit="1" customWidth="1"/>
    <col min="20" max="20" width="25.796875" bestFit="1" customWidth="1"/>
    <col min="21" max="21" width="9.33203125" bestFit="1" customWidth="1"/>
    <col min="22" max="22" width="12.73046875" bestFit="1" customWidth="1"/>
  </cols>
  <sheetData>
    <row r="1" spans="1:22" ht="55.7" customHeight="1" x14ac:dyDescent="1">
      <c r="A1" s="17">
        <f>SUBTOTAL(3,Table_Trailer_Restock_JSON[Description])</f>
        <v>330</v>
      </c>
      <c r="B1" s="17" t="s">
        <v>1168</v>
      </c>
    </row>
    <row r="2" spans="1:22" x14ac:dyDescent="0.45">
      <c r="A2" t="s">
        <v>1</v>
      </c>
      <c r="B2" t="s">
        <v>2</v>
      </c>
      <c r="C2" t="s">
        <v>7</v>
      </c>
      <c r="D2" t="s">
        <v>8</v>
      </c>
      <c r="E2" t="s">
        <v>9</v>
      </c>
      <c r="F2" t="s">
        <v>10</v>
      </c>
      <c r="G2" t="s">
        <v>11</v>
      </c>
      <c r="H2" t="s">
        <v>12</v>
      </c>
      <c r="I2" t="s">
        <v>15</v>
      </c>
      <c r="J2" t="s">
        <v>17</v>
      </c>
      <c r="K2" t="s">
        <v>22</v>
      </c>
      <c r="L2" t="s">
        <v>23</v>
      </c>
      <c r="M2" t="s">
        <v>836</v>
      </c>
      <c r="N2" t="s">
        <v>837</v>
      </c>
      <c r="O2" t="s">
        <v>838</v>
      </c>
      <c r="P2" t="s">
        <v>839</v>
      </c>
      <c r="Q2" t="s">
        <v>840</v>
      </c>
      <c r="R2" t="s">
        <v>841</v>
      </c>
      <c r="S2" t="s">
        <v>842</v>
      </c>
      <c r="T2" t="s">
        <v>843</v>
      </c>
      <c r="U2" t="s">
        <v>1169</v>
      </c>
      <c r="V2" t="s">
        <v>1170</v>
      </c>
    </row>
    <row r="3" spans="1:22" x14ac:dyDescent="0.45">
      <c r="A3">
        <v>27</v>
      </c>
      <c r="B3" t="s">
        <v>85</v>
      </c>
      <c r="E3" t="s">
        <v>29</v>
      </c>
      <c r="F3">
        <v>234633</v>
      </c>
      <c r="G3" t="s">
        <v>89</v>
      </c>
      <c r="H3" t="s">
        <v>89</v>
      </c>
      <c r="I3" t="s">
        <v>920</v>
      </c>
      <c r="J3" t="b">
        <v>1</v>
      </c>
      <c r="K3" t="b">
        <v>0</v>
      </c>
      <c r="L3" t="b">
        <v>1</v>
      </c>
      <c r="N3" t="s">
        <v>87</v>
      </c>
      <c r="O3" t="s">
        <v>868</v>
      </c>
      <c r="P3" t="s">
        <v>885</v>
      </c>
      <c r="Q3" t="s">
        <v>870</v>
      </c>
      <c r="R3" t="s">
        <v>849</v>
      </c>
      <c r="S3">
        <v>1</v>
      </c>
      <c r="T3" t="s">
        <v>1171</v>
      </c>
      <c r="U3" s="18"/>
      <c r="V3" t="b">
        <f>IF(AND(Table_Trailer_Restock_JSON[[#This Row],[Is Geo Trailer Stock]]=FALSE,Table_Trailer_Restock_JSON[[#This Row],[Is Geo Case Stock]]=FALSE),FALSE,TRUE)</f>
        <v>1</v>
      </c>
    </row>
    <row r="4" spans="1:22" x14ac:dyDescent="0.45">
      <c r="A4">
        <v>28</v>
      </c>
      <c r="B4" t="s">
        <v>91</v>
      </c>
      <c r="E4" t="s">
        <v>29</v>
      </c>
      <c r="F4">
        <v>367827</v>
      </c>
      <c r="G4" t="s">
        <v>89</v>
      </c>
      <c r="H4" t="s">
        <v>89</v>
      </c>
      <c r="I4" t="s">
        <v>922</v>
      </c>
      <c r="J4" t="b">
        <v>1</v>
      </c>
      <c r="K4" t="b">
        <v>0</v>
      </c>
      <c r="L4" t="b">
        <v>1</v>
      </c>
      <c r="N4" t="s">
        <v>87</v>
      </c>
      <c r="O4" t="s">
        <v>868</v>
      </c>
      <c r="P4" t="s">
        <v>885</v>
      </c>
      <c r="Q4" t="s">
        <v>870</v>
      </c>
      <c r="R4" t="s">
        <v>849</v>
      </c>
      <c r="S4">
        <v>2</v>
      </c>
      <c r="T4" t="s">
        <v>1171</v>
      </c>
      <c r="U4" s="18"/>
      <c r="V4" t="b">
        <f>IF(AND(Table_Trailer_Restock_JSON[[#This Row],[Is Geo Trailer Stock]]=FALSE,Table_Trailer_Restock_JSON[[#This Row],[Is Geo Case Stock]]=FALSE),FALSE,TRUE)</f>
        <v>1</v>
      </c>
    </row>
    <row r="5" spans="1:22" x14ac:dyDescent="0.45">
      <c r="A5">
        <v>29</v>
      </c>
      <c r="B5" t="s">
        <v>93</v>
      </c>
      <c r="E5" t="s">
        <v>29</v>
      </c>
      <c r="F5">
        <v>1006213462</v>
      </c>
      <c r="G5" t="s">
        <v>89</v>
      </c>
      <c r="H5" t="s">
        <v>89</v>
      </c>
      <c r="I5" t="s">
        <v>924</v>
      </c>
      <c r="J5" t="b">
        <v>1</v>
      </c>
      <c r="K5" t="b">
        <v>0</v>
      </c>
      <c r="L5" t="b">
        <v>1</v>
      </c>
      <c r="N5" t="s">
        <v>87</v>
      </c>
      <c r="O5" t="s">
        <v>868</v>
      </c>
      <c r="P5" t="s">
        <v>885</v>
      </c>
      <c r="Q5" t="s">
        <v>870</v>
      </c>
      <c r="R5" t="s">
        <v>849</v>
      </c>
      <c r="S5">
        <v>3</v>
      </c>
      <c r="T5" t="s">
        <v>1171</v>
      </c>
      <c r="U5" s="18"/>
      <c r="V5" t="b">
        <f>IF(AND(Table_Trailer_Restock_JSON[[#This Row],[Is Geo Trailer Stock]]=FALSE,Table_Trailer_Restock_JSON[[#This Row],[Is Geo Case Stock]]=FALSE),FALSE,TRUE)</f>
        <v>1</v>
      </c>
    </row>
    <row r="6" spans="1:22" x14ac:dyDescent="0.45">
      <c r="A6">
        <v>30</v>
      </c>
      <c r="B6" t="s">
        <v>95</v>
      </c>
      <c r="E6" t="s">
        <v>29</v>
      </c>
      <c r="F6">
        <v>459976</v>
      </c>
      <c r="G6" t="s">
        <v>96</v>
      </c>
      <c r="H6" t="s">
        <v>96</v>
      </c>
      <c r="I6" t="s">
        <v>926</v>
      </c>
      <c r="J6" t="b">
        <v>1</v>
      </c>
      <c r="K6" t="b">
        <v>0</v>
      </c>
      <c r="L6" t="b">
        <v>1</v>
      </c>
      <c r="N6" t="s">
        <v>87</v>
      </c>
      <c r="O6" t="s">
        <v>868</v>
      </c>
      <c r="P6" t="s">
        <v>885</v>
      </c>
      <c r="Q6" t="s">
        <v>870</v>
      </c>
      <c r="R6" t="s">
        <v>849</v>
      </c>
      <c r="S6">
        <v>4</v>
      </c>
      <c r="T6" t="s">
        <v>1171</v>
      </c>
      <c r="U6" s="18"/>
      <c r="V6" t="b">
        <f>IF(AND(Table_Trailer_Restock_JSON[[#This Row],[Is Geo Trailer Stock]]=FALSE,Table_Trailer_Restock_JSON[[#This Row],[Is Geo Case Stock]]=FALSE),FALSE,TRUE)</f>
        <v>1</v>
      </c>
    </row>
    <row r="7" spans="1:22" x14ac:dyDescent="0.45">
      <c r="A7">
        <v>31</v>
      </c>
      <c r="B7" t="s">
        <v>97</v>
      </c>
      <c r="E7" t="s">
        <v>29</v>
      </c>
      <c r="F7">
        <v>161702</v>
      </c>
      <c r="G7" t="s">
        <v>96</v>
      </c>
      <c r="H7" t="s">
        <v>96</v>
      </c>
      <c r="I7" t="s">
        <v>927</v>
      </c>
      <c r="J7" t="b">
        <v>1</v>
      </c>
      <c r="K7" t="b">
        <v>0</v>
      </c>
      <c r="L7" t="b">
        <v>1</v>
      </c>
      <c r="N7" t="s">
        <v>87</v>
      </c>
      <c r="O7" t="s">
        <v>868</v>
      </c>
      <c r="P7" t="s">
        <v>885</v>
      </c>
      <c r="Q7" t="s">
        <v>870</v>
      </c>
      <c r="R7" t="s">
        <v>849</v>
      </c>
      <c r="S7">
        <v>5</v>
      </c>
      <c r="T7" t="s">
        <v>1171</v>
      </c>
      <c r="U7" s="18"/>
      <c r="V7" t="b">
        <f>IF(AND(Table_Trailer_Restock_JSON[[#This Row],[Is Geo Trailer Stock]]=FALSE,Table_Trailer_Restock_JSON[[#This Row],[Is Geo Case Stock]]=FALSE),FALSE,TRUE)</f>
        <v>1</v>
      </c>
    </row>
    <row r="8" spans="1:22" x14ac:dyDescent="0.45">
      <c r="A8">
        <v>32</v>
      </c>
      <c r="B8" t="s">
        <v>99</v>
      </c>
      <c r="E8" t="s">
        <v>101</v>
      </c>
      <c r="F8" t="s">
        <v>102</v>
      </c>
      <c r="G8" t="s">
        <v>103</v>
      </c>
      <c r="H8" t="s">
        <v>104</v>
      </c>
      <c r="I8" t="s">
        <v>928</v>
      </c>
      <c r="J8" t="b">
        <v>1</v>
      </c>
      <c r="K8" t="b">
        <v>0</v>
      </c>
      <c r="L8" t="b">
        <v>1</v>
      </c>
      <c r="N8" t="s">
        <v>87</v>
      </c>
      <c r="O8" t="s">
        <v>868</v>
      </c>
      <c r="P8" t="s">
        <v>885</v>
      </c>
      <c r="Q8" t="s">
        <v>870</v>
      </c>
      <c r="R8" t="s">
        <v>849</v>
      </c>
      <c r="S8">
        <v>6</v>
      </c>
      <c r="T8" t="s">
        <v>1171</v>
      </c>
      <c r="U8" s="18"/>
      <c r="V8" t="b">
        <f>IF(AND(Table_Trailer_Restock_JSON[[#This Row],[Is Geo Trailer Stock]]=FALSE,Table_Trailer_Restock_JSON[[#This Row],[Is Geo Case Stock]]=FALSE),FALSE,TRUE)</f>
        <v>1</v>
      </c>
    </row>
    <row r="9" spans="1:22" x14ac:dyDescent="0.45">
      <c r="A9">
        <v>33</v>
      </c>
      <c r="B9" t="s">
        <v>105</v>
      </c>
      <c r="E9" t="s">
        <v>101</v>
      </c>
      <c r="F9" t="s">
        <v>107</v>
      </c>
      <c r="G9" t="s">
        <v>108</v>
      </c>
      <c r="H9" t="s">
        <v>104</v>
      </c>
      <c r="I9" t="s">
        <v>929</v>
      </c>
      <c r="J9" t="b">
        <v>1</v>
      </c>
      <c r="K9" t="b">
        <v>0</v>
      </c>
      <c r="L9" t="b">
        <v>1</v>
      </c>
      <c r="N9" t="s">
        <v>87</v>
      </c>
      <c r="O9" t="s">
        <v>868</v>
      </c>
      <c r="P9" t="s">
        <v>885</v>
      </c>
      <c r="Q9" t="s">
        <v>870</v>
      </c>
      <c r="R9" t="s">
        <v>849</v>
      </c>
      <c r="S9">
        <v>7</v>
      </c>
      <c r="T9" t="s">
        <v>1171</v>
      </c>
      <c r="U9" s="18"/>
      <c r="V9" t="b">
        <f>IF(AND(Table_Trailer_Restock_JSON[[#This Row],[Is Geo Trailer Stock]]=FALSE,Table_Trailer_Restock_JSON[[#This Row],[Is Geo Case Stock]]=FALSE),FALSE,TRUE)</f>
        <v>1</v>
      </c>
    </row>
    <row r="10" spans="1:22" x14ac:dyDescent="0.45">
      <c r="A10">
        <v>34</v>
      </c>
      <c r="B10" t="s">
        <v>109</v>
      </c>
      <c r="E10" t="s">
        <v>101</v>
      </c>
      <c r="F10" t="s">
        <v>111</v>
      </c>
      <c r="G10" t="s">
        <v>112</v>
      </c>
      <c r="H10" t="s">
        <v>104</v>
      </c>
      <c r="I10" t="s">
        <v>930</v>
      </c>
      <c r="J10" t="b">
        <v>1</v>
      </c>
      <c r="K10" t="b">
        <v>0</v>
      </c>
      <c r="L10" t="b">
        <v>1</v>
      </c>
      <c r="N10" t="s">
        <v>87</v>
      </c>
      <c r="O10" t="s">
        <v>868</v>
      </c>
      <c r="P10" t="s">
        <v>885</v>
      </c>
      <c r="Q10" t="s">
        <v>870</v>
      </c>
      <c r="R10" t="s">
        <v>849</v>
      </c>
      <c r="S10">
        <v>8</v>
      </c>
      <c r="T10" t="s">
        <v>1171</v>
      </c>
      <c r="U10" s="18"/>
      <c r="V10" t="b">
        <f>IF(AND(Table_Trailer_Restock_JSON[[#This Row],[Is Geo Trailer Stock]]=FALSE,Table_Trailer_Restock_JSON[[#This Row],[Is Geo Case Stock]]=FALSE),FALSE,TRUE)</f>
        <v>1</v>
      </c>
    </row>
    <row r="11" spans="1:22" x14ac:dyDescent="0.45">
      <c r="A11">
        <v>35</v>
      </c>
      <c r="B11" t="s">
        <v>113</v>
      </c>
      <c r="E11" t="s">
        <v>29</v>
      </c>
      <c r="F11">
        <v>459826</v>
      </c>
      <c r="G11" t="s">
        <v>115</v>
      </c>
      <c r="H11" t="s">
        <v>116</v>
      </c>
      <c r="I11" t="s">
        <v>931</v>
      </c>
      <c r="J11" t="b">
        <v>1</v>
      </c>
      <c r="K11" t="b">
        <v>0</v>
      </c>
      <c r="L11" t="b">
        <v>1</v>
      </c>
      <c r="N11" t="s">
        <v>87</v>
      </c>
      <c r="O11" t="s">
        <v>885</v>
      </c>
      <c r="P11">
        <v>10</v>
      </c>
      <c r="Q11" t="s">
        <v>870</v>
      </c>
      <c r="R11" t="s">
        <v>849</v>
      </c>
      <c r="S11">
        <v>9</v>
      </c>
      <c r="T11" t="s">
        <v>1171</v>
      </c>
      <c r="U11" s="18"/>
      <c r="V11" t="b">
        <f>IF(AND(Table_Trailer_Restock_JSON[[#This Row],[Is Geo Trailer Stock]]=FALSE,Table_Trailer_Restock_JSON[[#This Row],[Is Geo Case Stock]]=FALSE),FALSE,TRUE)</f>
        <v>1</v>
      </c>
    </row>
    <row r="12" spans="1:22" x14ac:dyDescent="0.45">
      <c r="A12">
        <v>90</v>
      </c>
      <c r="B12" t="s">
        <v>238</v>
      </c>
      <c r="E12" t="s">
        <v>29</v>
      </c>
      <c r="F12">
        <v>1005695140</v>
      </c>
      <c r="G12">
        <v>100</v>
      </c>
      <c r="H12">
        <v>50</v>
      </c>
      <c r="I12" t="s">
        <v>986</v>
      </c>
      <c r="J12" t="b">
        <v>1</v>
      </c>
      <c r="K12" t="b">
        <v>0</v>
      </c>
      <c r="L12" t="b">
        <v>1</v>
      </c>
      <c r="N12" t="s">
        <v>239</v>
      </c>
      <c r="O12">
        <v>100</v>
      </c>
      <c r="P12">
        <v>25</v>
      </c>
      <c r="Q12" t="s">
        <v>848</v>
      </c>
      <c r="R12" t="s">
        <v>851</v>
      </c>
      <c r="S12">
        <v>1</v>
      </c>
      <c r="T12" t="s">
        <v>1172</v>
      </c>
      <c r="U12" s="18"/>
      <c r="V12" t="b">
        <f>IF(AND(Table_Trailer_Restock_JSON[[#This Row],[Is Geo Trailer Stock]]=FALSE,Table_Trailer_Restock_JSON[[#This Row],[Is Geo Case Stock]]=FALSE),FALSE,TRUE)</f>
        <v>1</v>
      </c>
    </row>
    <row r="13" spans="1:22" x14ac:dyDescent="0.45">
      <c r="A13">
        <v>91</v>
      </c>
      <c r="B13" t="s">
        <v>240</v>
      </c>
      <c r="E13" t="s">
        <v>40</v>
      </c>
      <c r="F13" t="s">
        <v>241</v>
      </c>
      <c r="G13">
        <v>10</v>
      </c>
      <c r="H13">
        <v>10</v>
      </c>
      <c r="I13" t="s">
        <v>987</v>
      </c>
      <c r="J13" t="b">
        <v>1</v>
      </c>
      <c r="K13" t="b">
        <v>0</v>
      </c>
      <c r="L13" t="b">
        <v>1</v>
      </c>
      <c r="N13" t="s">
        <v>239</v>
      </c>
      <c r="O13">
        <v>12</v>
      </c>
      <c r="P13">
        <v>4</v>
      </c>
      <c r="Q13" t="s">
        <v>848</v>
      </c>
      <c r="R13" t="s">
        <v>851</v>
      </c>
      <c r="S13">
        <v>2</v>
      </c>
      <c r="T13" t="s">
        <v>1172</v>
      </c>
      <c r="U13" s="18"/>
      <c r="V13" t="b">
        <f>IF(AND(Table_Trailer_Restock_JSON[[#This Row],[Is Geo Trailer Stock]]=FALSE,Table_Trailer_Restock_JSON[[#This Row],[Is Geo Case Stock]]=FALSE),FALSE,TRUE)</f>
        <v>1</v>
      </c>
    </row>
    <row r="14" spans="1:22" x14ac:dyDescent="0.45">
      <c r="A14">
        <v>92</v>
      </c>
      <c r="B14" t="s">
        <v>242</v>
      </c>
      <c r="E14" t="s">
        <v>40</v>
      </c>
      <c r="F14" t="s">
        <v>243</v>
      </c>
      <c r="G14">
        <v>50</v>
      </c>
      <c r="H14">
        <v>20</v>
      </c>
      <c r="I14" t="s">
        <v>988</v>
      </c>
      <c r="J14" t="b">
        <v>1</v>
      </c>
      <c r="K14" t="b">
        <v>0</v>
      </c>
      <c r="L14" t="b">
        <v>1</v>
      </c>
      <c r="N14" t="s">
        <v>239</v>
      </c>
      <c r="O14" t="s">
        <v>885</v>
      </c>
      <c r="P14">
        <v>20</v>
      </c>
      <c r="Q14" t="s">
        <v>870</v>
      </c>
      <c r="R14" t="s">
        <v>851</v>
      </c>
      <c r="S14">
        <v>3</v>
      </c>
      <c r="T14" t="s">
        <v>1172</v>
      </c>
      <c r="U14" s="18"/>
      <c r="V14" t="b">
        <f>IF(AND(Table_Trailer_Restock_JSON[[#This Row],[Is Geo Trailer Stock]]=FALSE,Table_Trailer_Restock_JSON[[#This Row],[Is Geo Case Stock]]=FALSE),FALSE,TRUE)</f>
        <v>1</v>
      </c>
    </row>
    <row r="15" spans="1:22" x14ac:dyDescent="0.45">
      <c r="A15">
        <v>93</v>
      </c>
      <c r="B15" t="s">
        <v>244</v>
      </c>
      <c r="E15" t="s">
        <v>29</v>
      </c>
      <c r="F15">
        <v>1006959446</v>
      </c>
      <c r="G15">
        <v>20</v>
      </c>
      <c r="H15">
        <v>20</v>
      </c>
      <c r="I15" t="s">
        <v>989</v>
      </c>
      <c r="J15" t="b">
        <v>1</v>
      </c>
      <c r="K15" t="b">
        <v>0</v>
      </c>
      <c r="L15" t="b">
        <v>1</v>
      </c>
      <c r="N15" t="s">
        <v>239</v>
      </c>
      <c r="O15">
        <v>20</v>
      </c>
      <c r="P15">
        <v>4</v>
      </c>
      <c r="Q15" t="s">
        <v>848</v>
      </c>
      <c r="R15" t="s">
        <v>851</v>
      </c>
      <c r="S15">
        <v>4</v>
      </c>
      <c r="T15" t="s">
        <v>1172</v>
      </c>
      <c r="U15" s="18"/>
      <c r="V15" t="b">
        <f>IF(AND(Table_Trailer_Restock_JSON[[#This Row],[Is Geo Trailer Stock]]=FALSE,Table_Trailer_Restock_JSON[[#This Row],[Is Geo Case Stock]]=FALSE),FALSE,TRUE)</f>
        <v>1</v>
      </c>
    </row>
    <row r="16" spans="1:22" x14ac:dyDescent="0.45">
      <c r="A16">
        <v>94</v>
      </c>
      <c r="B16" t="s">
        <v>245</v>
      </c>
      <c r="E16" t="s">
        <v>29</v>
      </c>
      <c r="F16" t="s">
        <v>247</v>
      </c>
      <c r="G16">
        <v>500</v>
      </c>
      <c r="H16">
        <v>100</v>
      </c>
      <c r="I16" t="s">
        <v>990</v>
      </c>
      <c r="J16" t="b">
        <v>1</v>
      </c>
      <c r="K16" t="b">
        <v>0</v>
      </c>
      <c r="L16" t="b">
        <v>1</v>
      </c>
      <c r="N16" t="s">
        <v>239</v>
      </c>
      <c r="O16">
        <v>100</v>
      </c>
      <c r="P16">
        <v>25</v>
      </c>
      <c r="Q16" t="s">
        <v>848</v>
      </c>
      <c r="R16" t="s">
        <v>851</v>
      </c>
      <c r="S16">
        <v>5</v>
      </c>
      <c r="T16" t="s">
        <v>1172</v>
      </c>
      <c r="U16" s="18"/>
      <c r="V16" t="b">
        <f>IF(AND(Table_Trailer_Restock_JSON[[#This Row],[Is Geo Trailer Stock]]=FALSE,Table_Trailer_Restock_JSON[[#This Row],[Is Geo Case Stock]]=FALSE),FALSE,TRUE)</f>
        <v>1</v>
      </c>
    </row>
    <row r="17" spans="1:22" x14ac:dyDescent="0.45">
      <c r="A17">
        <v>95</v>
      </c>
      <c r="B17" t="s">
        <v>248</v>
      </c>
      <c r="E17" t="s">
        <v>249</v>
      </c>
      <c r="F17">
        <v>532</v>
      </c>
      <c r="G17">
        <v>100</v>
      </c>
      <c r="H17">
        <v>50</v>
      </c>
      <c r="I17" t="s">
        <v>991</v>
      </c>
      <c r="J17" t="b">
        <v>1</v>
      </c>
      <c r="K17" t="b">
        <v>0</v>
      </c>
      <c r="L17" t="b">
        <v>1</v>
      </c>
      <c r="N17" t="s">
        <v>239</v>
      </c>
      <c r="O17">
        <v>75</v>
      </c>
      <c r="P17">
        <v>25</v>
      </c>
      <c r="Q17" t="s">
        <v>848</v>
      </c>
      <c r="R17" t="s">
        <v>851</v>
      </c>
      <c r="S17">
        <v>6</v>
      </c>
      <c r="T17" t="s">
        <v>1172</v>
      </c>
      <c r="U17" s="18"/>
      <c r="V17" t="b">
        <f>IF(AND(Table_Trailer_Restock_JSON[[#This Row],[Is Geo Trailer Stock]]=FALSE,Table_Trailer_Restock_JSON[[#This Row],[Is Geo Case Stock]]=FALSE),FALSE,TRUE)</f>
        <v>1</v>
      </c>
    </row>
    <row r="18" spans="1:22" x14ac:dyDescent="0.45">
      <c r="A18">
        <v>96</v>
      </c>
      <c r="B18" t="s">
        <v>250</v>
      </c>
      <c r="E18" t="s">
        <v>40</v>
      </c>
      <c r="F18" t="s">
        <v>252</v>
      </c>
      <c r="G18">
        <v>10</v>
      </c>
      <c r="H18">
        <v>10</v>
      </c>
      <c r="I18" t="s">
        <v>992</v>
      </c>
      <c r="J18" t="b">
        <v>1</v>
      </c>
      <c r="K18" t="b">
        <v>0</v>
      </c>
      <c r="L18" t="b">
        <v>1</v>
      </c>
      <c r="N18" t="s">
        <v>239</v>
      </c>
      <c r="O18">
        <v>8</v>
      </c>
      <c r="P18">
        <v>4</v>
      </c>
      <c r="Q18" t="s">
        <v>848</v>
      </c>
      <c r="R18" t="s">
        <v>851</v>
      </c>
      <c r="S18">
        <v>7</v>
      </c>
      <c r="T18" t="s">
        <v>1172</v>
      </c>
      <c r="U18" s="18"/>
      <c r="V18" t="b">
        <f>IF(AND(Table_Trailer_Restock_JSON[[#This Row],[Is Geo Trailer Stock]]=FALSE,Table_Trailer_Restock_JSON[[#This Row],[Is Geo Case Stock]]=FALSE),FALSE,TRUE)</f>
        <v>1</v>
      </c>
    </row>
    <row r="19" spans="1:22" x14ac:dyDescent="0.45">
      <c r="A19">
        <v>97</v>
      </c>
      <c r="B19" t="s">
        <v>253</v>
      </c>
      <c r="E19" t="s">
        <v>40</v>
      </c>
      <c r="F19" t="s">
        <v>255</v>
      </c>
      <c r="G19">
        <v>10</v>
      </c>
      <c r="H19">
        <v>10</v>
      </c>
      <c r="I19" t="s">
        <v>993</v>
      </c>
      <c r="J19" t="b">
        <v>1</v>
      </c>
      <c r="K19" t="b">
        <v>0</v>
      </c>
      <c r="L19" t="b">
        <v>1</v>
      </c>
      <c r="N19" t="s">
        <v>239</v>
      </c>
      <c r="O19">
        <v>8</v>
      </c>
      <c r="P19">
        <v>4</v>
      </c>
      <c r="Q19" t="s">
        <v>848</v>
      </c>
      <c r="R19" t="s">
        <v>851</v>
      </c>
      <c r="S19">
        <v>8</v>
      </c>
      <c r="T19" t="s">
        <v>1172</v>
      </c>
      <c r="U19" s="18"/>
      <c r="V19" t="b">
        <f>IF(AND(Table_Trailer_Restock_JSON[[#This Row],[Is Geo Trailer Stock]]=FALSE,Table_Trailer_Restock_JSON[[#This Row],[Is Geo Case Stock]]=FALSE),FALSE,TRUE)</f>
        <v>1</v>
      </c>
    </row>
    <row r="20" spans="1:22" x14ac:dyDescent="0.45">
      <c r="A20">
        <v>14</v>
      </c>
      <c r="B20" t="s">
        <v>57</v>
      </c>
      <c r="E20" t="s">
        <v>29</v>
      </c>
      <c r="F20">
        <v>292579</v>
      </c>
      <c r="G20">
        <v>50</v>
      </c>
      <c r="H20">
        <v>10</v>
      </c>
      <c r="I20" t="s">
        <v>884</v>
      </c>
      <c r="J20" t="b">
        <v>1</v>
      </c>
      <c r="K20" t="b">
        <v>0</v>
      </c>
      <c r="L20" t="b">
        <v>1</v>
      </c>
      <c r="N20" t="s">
        <v>854</v>
      </c>
      <c r="O20" t="s">
        <v>885</v>
      </c>
      <c r="P20">
        <v>20</v>
      </c>
      <c r="Q20" t="s">
        <v>870</v>
      </c>
      <c r="R20" t="s">
        <v>853</v>
      </c>
      <c r="S20">
        <v>1</v>
      </c>
      <c r="T20" t="s">
        <v>1173</v>
      </c>
      <c r="U20" s="18"/>
      <c r="V20" t="b">
        <f>IF(AND(Table_Trailer_Restock_JSON[[#This Row],[Is Geo Trailer Stock]]=FALSE,Table_Trailer_Restock_JSON[[#This Row],[Is Geo Case Stock]]=FALSE),FALSE,TRUE)</f>
        <v>1</v>
      </c>
    </row>
    <row r="21" spans="1:22" x14ac:dyDescent="0.45">
      <c r="A21">
        <v>15</v>
      </c>
      <c r="B21" t="s">
        <v>59</v>
      </c>
      <c r="E21" t="s">
        <v>40</v>
      </c>
      <c r="F21" t="s">
        <v>61</v>
      </c>
      <c r="G21">
        <v>50</v>
      </c>
      <c r="H21">
        <v>20</v>
      </c>
      <c r="I21" t="s">
        <v>887</v>
      </c>
      <c r="J21" t="b">
        <v>1</v>
      </c>
      <c r="K21" t="b">
        <v>0</v>
      </c>
      <c r="L21" t="b">
        <v>1</v>
      </c>
      <c r="N21" t="s">
        <v>854</v>
      </c>
      <c r="O21" t="s">
        <v>868</v>
      </c>
      <c r="P21">
        <v>10</v>
      </c>
      <c r="Q21" t="s">
        <v>870</v>
      </c>
      <c r="R21" t="s">
        <v>853</v>
      </c>
      <c r="S21">
        <v>2</v>
      </c>
      <c r="T21" t="s">
        <v>1173</v>
      </c>
      <c r="U21" s="18"/>
      <c r="V21" t="b">
        <f>IF(AND(Table_Trailer_Restock_JSON[[#This Row],[Is Geo Trailer Stock]]=FALSE,Table_Trailer_Restock_JSON[[#This Row],[Is Geo Case Stock]]=FALSE),FALSE,TRUE)</f>
        <v>1</v>
      </c>
    </row>
    <row r="22" spans="1:22" x14ac:dyDescent="0.45">
      <c r="A22">
        <v>16</v>
      </c>
      <c r="B22" t="s">
        <v>62</v>
      </c>
      <c r="E22" t="s">
        <v>40</v>
      </c>
      <c r="F22" t="s">
        <v>63</v>
      </c>
      <c r="G22">
        <v>20</v>
      </c>
      <c r="H22">
        <v>10</v>
      </c>
      <c r="I22" t="s">
        <v>890</v>
      </c>
      <c r="J22" t="b">
        <v>1</v>
      </c>
      <c r="K22" t="b">
        <v>0</v>
      </c>
      <c r="L22" t="b">
        <v>1</v>
      </c>
      <c r="N22" t="s">
        <v>854</v>
      </c>
      <c r="O22" t="s">
        <v>891</v>
      </c>
      <c r="P22">
        <v>6</v>
      </c>
      <c r="Q22" t="s">
        <v>870</v>
      </c>
      <c r="R22" t="s">
        <v>853</v>
      </c>
      <c r="S22">
        <v>3</v>
      </c>
      <c r="T22" t="s">
        <v>1173</v>
      </c>
      <c r="U22" s="18"/>
      <c r="V22" t="b">
        <f>IF(AND(Table_Trailer_Restock_JSON[[#This Row],[Is Geo Trailer Stock]]=FALSE,Table_Trailer_Restock_JSON[[#This Row],[Is Geo Case Stock]]=FALSE),FALSE,TRUE)</f>
        <v>1</v>
      </c>
    </row>
    <row r="23" spans="1:22" x14ac:dyDescent="0.45">
      <c r="A23">
        <v>17</v>
      </c>
      <c r="B23" t="s">
        <v>64</v>
      </c>
      <c r="E23" t="s">
        <v>40</v>
      </c>
      <c r="F23" t="s">
        <v>65</v>
      </c>
      <c r="G23">
        <v>10</v>
      </c>
      <c r="H23">
        <v>10</v>
      </c>
      <c r="I23" t="s">
        <v>894</v>
      </c>
      <c r="J23" t="b">
        <v>1</v>
      </c>
      <c r="K23" t="b">
        <v>0</v>
      </c>
      <c r="L23" t="b">
        <v>1</v>
      </c>
      <c r="N23" t="s">
        <v>854</v>
      </c>
      <c r="O23">
        <v>6</v>
      </c>
      <c r="P23">
        <v>2</v>
      </c>
      <c r="Q23" t="s">
        <v>848</v>
      </c>
      <c r="R23" t="s">
        <v>853</v>
      </c>
      <c r="S23">
        <v>4</v>
      </c>
      <c r="T23" t="s">
        <v>1173</v>
      </c>
      <c r="U23" s="18"/>
      <c r="V23" t="b">
        <f>IF(AND(Table_Trailer_Restock_JSON[[#This Row],[Is Geo Trailer Stock]]=FALSE,Table_Trailer_Restock_JSON[[#This Row],[Is Geo Case Stock]]=FALSE),FALSE,TRUE)</f>
        <v>1</v>
      </c>
    </row>
    <row r="24" spans="1:22" x14ac:dyDescent="0.45">
      <c r="A24">
        <v>18</v>
      </c>
      <c r="B24" t="s">
        <v>66</v>
      </c>
      <c r="E24" t="s">
        <v>29</v>
      </c>
      <c r="F24">
        <v>1001403027</v>
      </c>
      <c r="G24">
        <v>50</v>
      </c>
      <c r="H24">
        <v>20</v>
      </c>
      <c r="I24" t="s">
        <v>897</v>
      </c>
      <c r="J24" t="b">
        <v>1</v>
      </c>
      <c r="K24" t="b">
        <v>0</v>
      </c>
      <c r="L24" t="b">
        <v>1</v>
      </c>
      <c r="N24" t="s">
        <v>854</v>
      </c>
      <c r="O24" t="s">
        <v>868</v>
      </c>
      <c r="P24">
        <v>10</v>
      </c>
      <c r="Q24" t="s">
        <v>870</v>
      </c>
      <c r="R24" t="s">
        <v>853</v>
      </c>
      <c r="S24">
        <v>5</v>
      </c>
      <c r="T24" t="s">
        <v>1173</v>
      </c>
      <c r="U24" s="18"/>
      <c r="V24" t="b">
        <f>IF(AND(Table_Trailer_Restock_JSON[[#This Row],[Is Geo Trailer Stock]]=FALSE,Table_Trailer_Restock_JSON[[#This Row],[Is Geo Case Stock]]=FALSE),FALSE,TRUE)</f>
        <v>1</v>
      </c>
    </row>
    <row r="25" spans="1:22" x14ac:dyDescent="0.45">
      <c r="A25">
        <v>19</v>
      </c>
      <c r="B25" t="s">
        <v>67</v>
      </c>
      <c r="E25" t="s">
        <v>40</v>
      </c>
      <c r="F25" t="s">
        <v>69</v>
      </c>
      <c r="G25">
        <v>10</v>
      </c>
      <c r="H25">
        <v>4</v>
      </c>
      <c r="I25" t="s">
        <v>899</v>
      </c>
      <c r="J25" t="b">
        <v>1</v>
      </c>
      <c r="K25" t="b">
        <v>0</v>
      </c>
      <c r="L25" t="b">
        <v>1</v>
      </c>
      <c r="N25" t="s">
        <v>854</v>
      </c>
      <c r="O25">
        <v>2</v>
      </c>
      <c r="Q25" t="s">
        <v>848</v>
      </c>
      <c r="R25" t="s">
        <v>853</v>
      </c>
      <c r="S25">
        <v>6</v>
      </c>
      <c r="T25" t="s">
        <v>1173</v>
      </c>
      <c r="U25" s="18"/>
      <c r="V25" t="b">
        <f>IF(AND(Table_Trailer_Restock_JSON[[#This Row],[Is Geo Trailer Stock]]=FALSE,Table_Trailer_Restock_JSON[[#This Row],[Is Geo Case Stock]]=FALSE),FALSE,TRUE)</f>
        <v>1</v>
      </c>
    </row>
    <row r="26" spans="1:22" x14ac:dyDescent="0.45">
      <c r="A26">
        <v>20</v>
      </c>
      <c r="B26" t="s">
        <v>70</v>
      </c>
      <c r="E26" t="s">
        <v>40</v>
      </c>
      <c r="F26" t="s">
        <v>71</v>
      </c>
      <c r="G26">
        <v>10</v>
      </c>
      <c r="H26">
        <v>4</v>
      </c>
      <c r="I26" t="s">
        <v>902</v>
      </c>
      <c r="J26" t="b">
        <v>1</v>
      </c>
      <c r="K26" t="b">
        <v>0</v>
      </c>
      <c r="L26" t="b">
        <v>1</v>
      </c>
      <c r="N26" t="s">
        <v>854</v>
      </c>
      <c r="O26">
        <v>2</v>
      </c>
      <c r="Q26" t="s">
        <v>848</v>
      </c>
      <c r="R26" t="s">
        <v>853</v>
      </c>
      <c r="S26">
        <v>7</v>
      </c>
      <c r="T26" t="s">
        <v>1173</v>
      </c>
      <c r="U26" s="18"/>
      <c r="V26" t="b">
        <f>IF(AND(Table_Trailer_Restock_JSON[[#This Row],[Is Geo Trailer Stock]]=FALSE,Table_Trailer_Restock_JSON[[#This Row],[Is Geo Case Stock]]=FALSE),FALSE,TRUE)</f>
        <v>1</v>
      </c>
    </row>
    <row r="27" spans="1:22" x14ac:dyDescent="0.45">
      <c r="A27">
        <v>21</v>
      </c>
      <c r="B27" t="s">
        <v>72</v>
      </c>
      <c r="E27" t="s">
        <v>40</v>
      </c>
      <c r="F27" t="s">
        <v>73</v>
      </c>
      <c r="G27">
        <v>20</v>
      </c>
      <c r="H27">
        <v>12</v>
      </c>
      <c r="I27" t="s">
        <v>905</v>
      </c>
      <c r="J27" t="b">
        <v>1</v>
      </c>
      <c r="K27" t="b">
        <v>0</v>
      </c>
      <c r="L27" t="b">
        <v>1</v>
      </c>
      <c r="N27" t="s">
        <v>854</v>
      </c>
      <c r="O27">
        <v>8</v>
      </c>
      <c r="P27">
        <v>2</v>
      </c>
      <c r="Q27" t="s">
        <v>848</v>
      </c>
      <c r="R27" t="s">
        <v>853</v>
      </c>
      <c r="S27">
        <v>8</v>
      </c>
      <c r="T27" t="s">
        <v>1173</v>
      </c>
      <c r="U27" s="18"/>
      <c r="V27" t="b">
        <f>IF(AND(Table_Trailer_Restock_JSON[[#This Row],[Is Geo Trailer Stock]]=FALSE,Table_Trailer_Restock_JSON[[#This Row],[Is Geo Case Stock]]=FALSE),FALSE,TRUE)</f>
        <v>1</v>
      </c>
    </row>
    <row r="28" spans="1:22" x14ac:dyDescent="0.45">
      <c r="A28">
        <v>22</v>
      </c>
      <c r="B28" t="s">
        <v>74</v>
      </c>
      <c r="E28" t="s">
        <v>75</v>
      </c>
      <c r="F28" t="s">
        <v>76</v>
      </c>
      <c r="G28">
        <v>20</v>
      </c>
      <c r="H28">
        <v>12</v>
      </c>
      <c r="I28" t="s">
        <v>908</v>
      </c>
      <c r="J28" t="b">
        <v>1</v>
      </c>
      <c r="K28" t="b">
        <v>0</v>
      </c>
      <c r="L28" t="b">
        <v>1</v>
      </c>
      <c r="N28" t="s">
        <v>854</v>
      </c>
      <c r="O28">
        <v>8</v>
      </c>
      <c r="P28">
        <v>2</v>
      </c>
      <c r="Q28" t="s">
        <v>848</v>
      </c>
      <c r="R28" t="s">
        <v>853</v>
      </c>
      <c r="S28">
        <v>9</v>
      </c>
      <c r="T28" t="s">
        <v>1173</v>
      </c>
      <c r="U28" s="18"/>
      <c r="V28" t="b">
        <f>IF(AND(Table_Trailer_Restock_JSON[[#This Row],[Is Geo Trailer Stock]]=FALSE,Table_Trailer_Restock_JSON[[#This Row],[Is Geo Case Stock]]=FALSE),FALSE,TRUE)</f>
        <v>1</v>
      </c>
    </row>
    <row r="29" spans="1:22" x14ac:dyDescent="0.45">
      <c r="A29">
        <v>23</v>
      </c>
      <c r="B29" t="s">
        <v>77</v>
      </c>
      <c r="E29" t="s">
        <v>40</v>
      </c>
      <c r="F29">
        <v>85399</v>
      </c>
      <c r="G29">
        <v>20</v>
      </c>
      <c r="H29">
        <v>12</v>
      </c>
      <c r="I29" t="s">
        <v>910</v>
      </c>
      <c r="J29" t="b">
        <v>1</v>
      </c>
      <c r="K29" t="b">
        <v>0</v>
      </c>
      <c r="L29" t="b">
        <v>1</v>
      </c>
      <c r="N29" t="s">
        <v>854</v>
      </c>
      <c r="O29">
        <v>6</v>
      </c>
      <c r="P29">
        <v>2</v>
      </c>
      <c r="Q29" t="s">
        <v>848</v>
      </c>
      <c r="R29" t="s">
        <v>853</v>
      </c>
      <c r="S29">
        <v>10</v>
      </c>
      <c r="T29" t="s">
        <v>1173</v>
      </c>
      <c r="U29" s="18"/>
      <c r="V29" t="b">
        <f>IF(AND(Table_Trailer_Restock_JSON[[#This Row],[Is Geo Trailer Stock]]=FALSE,Table_Trailer_Restock_JSON[[#This Row],[Is Geo Case Stock]]=FALSE),FALSE,TRUE)</f>
        <v>1</v>
      </c>
    </row>
    <row r="30" spans="1:22" x14ac:dyDescent="0.45">
      <c r="A30">
        <v>24</v>
      </c>
      <c r="B30" t="s">
        <v>79</v>
      </c>
      <c r="E30" t="s">
        <v>40</v>
      </c>
      <c r="F30">
        <v>902</v>
      </c>
      <c r="G30">
        <v>20</v>
      </c>
      <c r="H30">
        <v>12</v>
      </c>
      <c r="I30" t="s">
        <v>912</v>
      </c>
      <c r="J30" t="b">
        <v>1</v>
      </c>
      <c r="K30" t="b">
        <v>0</v>
      </c>
      <c r="L30" t="b">
        <v>1</v>
      </c>
      <c r="N30" t="s">
        <v>854</v>
      </c>
      <c r="O30">
        <v>12</v>
      </c>
      <c r="P30">
        <v>4</v>
      </c>
      <c r="Q30" t="s">
        <v>848</v>
      </c>
      <c r="R30" t="s">
        <v>853</v>
      </c>
      <c r="S30">
        <v>11</v>
      </c>
      <c r="T30" t="s">
        <v>1173</v>
      </c>
      <c r="U30" s="18"/>
      <c r="V30" t="b">
        <f>IF(AND(Table_Trailer_Restock_JSON[[#This Row],[Is Geo Trailer Stock]]=FALSE,Table_Trailer_Restock_JSON[[#This Row],[Is Geo Case Stock]]=FALSE),FALSE,TRUE)</f>
        <v>1</v>
      </c>
    </row>
    <row r="31" spans="1:22" x14ac:dyDescent="0.45">
      <c r="A31">
        <v>25</v>
      </c>
      <c r="B31" t="s">
        <v>81</v>
      </c>
      <c r="E31" t="s">
        <v>40</v>
      </c>
      <c r="F31">
        <v>901</v>
      </c>
      <c r="G31">
        <v>20</v>
      </c>
      <c r="H31">
        <v>12</v>
      </c>
      <c r="I31" t="s">
        <v>914</v>
      </c>
      <c r="J31" t="b">
        <v>1</v>
      </c>
      <c r="K31" t="b">
        <v>0</v>
      </c>
      <c r="L31" t="b">
        <v>1</v>
      </c>
      <c r="N31" t="s">
        <v>854</v>
      </c>
      <c r="O31">
        <v>12</v>
      </c>
      <c r="P31">
        <v>4</v>
      </c>
      <c r="Q31" t="s">
        <v>848</v>
      </c>
      <c r="R31" t="s">
        <v>853</v>
      </c>
      <c r="S31">
        <v>12</v>
      </c>
      <c r="T31" t="s">
        <v>1173</v>
      </c>
      <c r="U31" s="18"/>
      <c r="V31" t="b">
        <f>IF(AND(Table_Trailer_Restock_JSON[[#This Row],[Is Geo Trailer Stock]]=FALSE,Table_Trailer_Restock_JSON[[#This Row],[Is Geo Case Stock]]=FALSE),FALSE,TRUE)</f>
        <v>1</v>
      </c>
    </row>
    <row r="32" spans="1:22" x14ac:dyDescent="0.45">
      <c r="A32">
        <v>26</v>
      </c>
      <c r="B32" t="s">
        <v>83</v>
      </c>
      <c r="E32" t="s">
        <v>40</v>
      </c>
      <c r="F32">
        <v>905</v>
      </c>
      <c r="G32">
        <v>10</v>
      </c>
      <c r="H32">
        <v>8</v>
      </c>
      <c r="I32" t="s">
        <v>917</v>
      </c>
      <c r="J32" t="b">
        <v>1</v>
      </c>
      <c r="K32" t="b">
        <v>0</v>
      </c>
      <c r="L32" t="b">
        <v>1</v>
      </c>
      <c r="N32" t="s">
        <v>854</v>
      </c>
      <c r="O32">
        <v>6</v>
      </c>
      <c r="P32">
        <v>2</v>
      </c>
      <c r="Q32" t="s">
        <v>848</v>
      </c>
      <c r="R32" t="s">
        <v>853</v>
      </c>
      <c r="S32">
        <v>13</v>
      </c>
      <c r="T32" t="s">
        <v>1173</v>
      </c>
      <c r="U32" s="18"/>
      <c r="V32" t="b">
        <f>IF(AND(Table_Trailer_Restock_JSON[[#This Row],[Is Geo Trailer Stock]]=FALSE,Table_Trailer_Restock_JSON[[#This Row],[Is Geo Case Stock]]=FALSE),FALSE,TRUE)</f>
        <v>1</v>
      </c>
    </row>
    <row r="33" spans="1:22" x14ac:dyDescent="0.45">
      <c r="A33">
        <v>1</v>
      </c>
      <c r="B33" t="s">
        <v>24</v>
      </c>
      <c r="E33" t="s">
        <v>29</v>
      </c>
      <c r="F33" t="s">
        <v>30</v>
      </c>
      <c r="G33">
        <v>4</v>
      </c>
      <c r="H33">
        <v>2</v>
      </c>
      <c r="I33" t="s">
        <v>846</v>
      </c>
      <c r="J33" t="b">
        <v>1</v>
      </c>
      <c r="K33" t="b">
        <v>0</v>
      </c>
      <c r="L33" t="b">
        <v>1</v>
      </c>
      <c r="N33" t="s">
        <v>847</v>
      </c>
      <c r="O33">
        <v>1</v>
      </c>
      <c r="P33">
        <v>1</v>
      </c>
      <c r="Q33" t="s">
        <v>848</v>
      </c>
      <c r="R33" t="s">
        <v>856</v>
      </c>
      <c r="S33">
        <v>1</v>
      </c>
      <c r="T33" t="s">
        <v>1174</v>
      </c>
      <c r="U33" s="18"/>
      <c r="V33" t="b">
        <f>IF(AND(Table_Trailer_Restock_JSON[[#This Row],[Is Geo Trailer Stock]]=FALSE,Table_Trailer_Restock_JSON[[#This Row],[Is Geo Case Stock]]=FALSE),FALSE,TRUE)</f>
        <v>1</v>
      </c>
    </row>
    <row r="34" spans="1:22" x14ac:dyDescent="0.45">
      <c r="A34">
        <v>2</v>
      </c>
      <c r="B34" t="s">
        <v>32</v>
      </c>
      <c r="E34" t="s">
        <v>29</v>
      </c>
      <c r="F34" t="s">
        <v>33</v>
      </c>
      <c r="G34">
        <v>4</v>
      </c>
      <c r="H34">
        <v>4</v>
      </c>
      <c r="I34" t="s">
        <v>850</v>
      </c>
      <c r="J34" t="b">
        <v>1</v>
      </c>
      <c r="K34" t="b">
        <v>0</v>
      </c>
      <c r="L34" t="b">
        <v>1</v>
      </c>
      <c r="N34" t="s">
        <v>847</v>
      </c>
      <c r="O34">
        <v>2</v>
      </c>
      <c r="P34">
        <v>1</v>
      </c>
      <c r="Q34" t="s">
        <v>848</v>
      </c>
      <c r="R34" t="s">
        <v>856</v>
      </c>
      <c r="S34">
        <v>2</v>
      </c>
      <c r="T34" t="s">
        <v>1174</v>
      </c>
      <c r="U34" s="18"/>
      <c r="V34" t="b">
        <f>IF(AND(Table_Trailer_Restock_JSON[[#This Row],[Is Geo Trailer Stock]]=FALSE,Table_Trailer_Restock_JSON[[#This Row],[Is Geo Case Stock]]=FALSE),FALSE,TRUE)</f>
        <v>1</v>
      </c>
    </row>
    <row r="35" spans="1:22" x14ac:dyDescent="0.45">
      <c r="A35">
        <v>3</v>
      </c>
      <c r="B35" t="s">
        <v>34</v>
      </c>
      <c r="E35" t="s">
        <v>29</v>
      </c>
      <c r="F35">
        <v>959340</v>
      </c>
      <c r="G35">
        <v>12</v>
      </c>
      <c r="H35">
        <v>4</v>
      </c>
      <c r="I35" t="s">
        <v>852</v>
      </c>
      <c r="J35" t="b">
        <v>1</v>
      </c>
      <c r="K35" t="b">
        <v>0</v>
      </c>
      <c r="L35" t="b">
        <v>1</v>
      </c>
      <c r="N35" t="s">
        <v>847</v>
      </c>
      <c r="O35">
        <v>2</v>
      </c>
      <c r="P35">
        <v>6</v>
      </c>
      <c r="Q35" t="s">
        <v>848</v>
      </c>
      <c r="R35" t="s">
        <v>856</v>
      </c>
      <c r="S35">
        <v>3</v>
      </c>
      <c r="T35" t="s">
        <v>1174</v>
      </c>
      <c r="U35" s="18"/>
      <c r="V35" t="b">
        <f>IF(AND(Table_Trailer_Restock_JSON[[#This Row],[Is Geo Trailer Stock]]=FALSE,Table_Trailer_Restock_JSON[[#This Row],[Is Geo Case Stock]]=FALSE),FALSE,TRUE)</f>
        <v>1</v>
      </c>
    </row>
    <row r="36" spans="1:22" x14ac:dyDescent="0.45">
      <c r="A36">
        <v>4</v>
      </c>
      <c r="B36" t="s">
        <v>36</v>
      </c>
      <c r="E36" t="s">
        <v>29</v>
      </c>
      <c r="F36">
        <v>1005183384</v>
      </c>
      <c r="G36">
        <v>12</v>
      </c>
      <c r="H36">
        <v>4</v>
      </c>
      <c r="I36" t="s">
        <v>855</v>
      </c>
      <c r="J36" t="b">
        <v>1</v>
      </c>
      <c r="K36" t="b">
        <v>0</v>
      </c>
      <c r="L36" t="b">
        <v>1</v>
      </c>
      <c r="N36" t="s">
        <v>847</v>
      </c>
      <c r="O36">
        <v>2</v>
      </c>
      <c r="P36">
        <v>6</v>
      </c>
      <c r="Q36" t="s">
        <v>848</v>
      </c>
      <c r="R36" t="s">
        <v>856</v>
      </c>
      <c r="S36">
        <v>4</v>
      </c>
      <c r="T36" t="s">
        <v>1174</v>
      </c>
      <c r="U36" s="18"/>
      <c r="V36" t="b">
        <f>IF(AND(Table_Trailer_Restock_JSON[[#This Row],[Is Geo Trailer Stock]]=FALSE,Table_Trailer_Restock_JSON[[#This Row],[Is Geo Case Stock]]=FALSE),FALSE,TRUE)</f>
        <v>1</v>
      </c>
    </row>
    <row r="37" spans="1:22" x14ac:dyDescent="0.45">
      <c r="A37">
        <v>5</v>
      </c>
      <c r="B37" t="s">
        <v>38</v>
      </c>
      <c r="E37" t="s">
        <v>29</v>
      </c>
      <c r="F37">
        <v>349236</v>
      </c>
      <c r="G37">
        <v>10</v>
      </c>
      <c r="H37">
        <v>4</v>
      </c>
      <c r="I37" t="s">
        <v>857</v>
      </c>
      <c r="J37" t="b">
        <v>1</v>
      </c>
      <c r="K37" t="b">
        <v>0</v>
      </c>
      <c r="L37" t="b">
        <v>1</v>
      </c>
      <c r="N37" t="s">
        <v>847</v>
      </c>
      <c r="O37">
        <v>10</v>
      </c>
      <c r="P37">
        <v>4</v>
      </c>
      <c r="Q37" t="s">
        <v>848</v>
      </c>
      <c r="R37" t="s">
        <v>856</v>
      </c>
      <c r="S37">
        <v>5</v>
      </c>
      <c r="T37" t="s">
        <v>1174</v>
      </c>
      <c r="U37" s="18"/>
      <c r="V37" t="b">
        <f>IF(AND(Table_Trailer_Restock_JSON[[#This Row],[Is Geo Trailer Stock]]=FALSE,Table_Trailer_Restock_JSON[[#This Row],[Is Geo Case Stock]]=FALSE),FALSE,TRUE)</f>
        <v>1</v>
      </c>
    </row>
    <row r="38" spans="1:22" x14ac:dyDescent="0.45">
      <c r="A38">
        <v>6</v>
      </c>
      <c r="B38" t="s">
        <v>39</v>
      </c>
      <c r="E38" t="s">
        <v>40</v>
      </c>
      <c r="F38" t="s">
        <v>41</v>
      </c>
      <c r="G38">
        <v>50</v>
      </c>
      <c r="H38">
        <v>10</v>
      </c>
      <c r="I38" t="s">
        <v>859</v>
      </c>
      <c r="J38" t="b">
        <v>1</v>
      </c>
      <c r="K38" t="b">
        <v>0</v>
      </c>
      <c r="L38" t="b">
        <v>1</v>
      </c>
      <c r="N38" t="s">
        <v>847</v>
      </c>
      <c r="O38">
        <v>12</v>
      </c>
      <c r="P38">
        <v>4</v>
      </c>
      <c r="Q38" t="s">
        <v>848</v>
      </c>
      <c r="R38" t="s">
        <v>856</v>
      </c>
      <c r="S38">
        <v>6</v>
      </c>
      <c r="T38" t="s">
        <v>1174</v>
      </c>
      <c r="U38" s="18"/>
      <c r="V38" t="b">
        <f>IF(AND(Table_Trailer_Restock_JSON[[#This Row],[Is Geo Trailer Stock]]=FALSE,Table_Trailer_Restock_JSON[[#This Row],[Is Geo Case Stock]]=FALSE),FALSE,TRUE)</f>
        <v>1</v>
      </c>
    </row>
    <row r="39" spans="1:22" x14ac:dyDescent="0.45">
      <c r="A39">
        <v>7</v>
      </c>
      <c r="B39" t="s">
        <v>42</v>
      </c>
      <c r="E39" t="s">
        <v>40</v>
      </c>
      <c r="F39" t="s">
        <v>43</v>
      </c>
      <c r="G39">
        <v>50</v>
      </c>
      <c r="H39">
        <v>10</v>
      </c>
      <c r="I39" t="s">
        <v>861</v>
      </c>
      <c r="J39" t="b">
        <v>1</v>
      </c>
      <c r="K39" t="b">
        <v>0</v>
      </c>
      <c r="L39" t="b">
        <v>1</v>
      </c>
      <c r="N39" t="s">
        <v>847</v>
      </c>
      <c r="O39">
        <v>12</v>
      </c>
      <c r="P39">
        <v>4</v>
      </c>
      <c r="Q39" t="s">
        <v>848</v>
      </c>
      <c r="R39" t="s">
        <v>856</v>
      </c>
      <c r="S39">
        <v>7</v>
      </c>
      <c r="T39" t="s">
        <v>1174</v>
      </c>
      <c r="U39" s="18"/>
      <c r="V39" t="b">
        <f>IF(AND(Table_Trailer_Restock_JSON[[#This Row],[Is Geo Trailer Stock]]=FALSE,Table_Trailer_Restock_JSON[[#This Row],[Is Geo Case Stock]]=FALSE),FALSE,TRUE)</f>
        <v>1</v>
      </c>
    </row>
    <row r="40" spans="1:22" x14ac:dyDescent="0.45">
      <c r="A40">
        <v>8</v>
      </c>
      <c r="B40" t="s">
        <v>44</v>
      </c>
      <c r="E40" t="s">
        <v>40</v>
      </c>
      <c r="F40" t="s">
        <v>46</v>
      </c>
      <c r="G40">
        <v>50</v>
      </c>
      <c r="H40">
        <v>10</v>
      </c>
      <c r="I40" t="s">
        <v>864</v>
      </c>
      <c r="J40" t="b">
        <v>1</v>
      </c>
      <c r="K40" t="b">
        <v>0</v>
      </c>
      <c r="L40" t="b">
        <v>1</v>
      </c>
      <c r="N40" t="s">
        <v>847</v>
      </c>
      <c r="O40">
        <v>10</v>
      </c>
      <c r="P40">
        <v>2</v>
      </c>
      <c r="Q40" t="s">
        <v>848</v>
      </c>
      <c r="R40" t="s">
        <v>856</v>
      </c>
      <c r="S40">
        <v>8</v>
      </c>
      <c r="T40" t="s">
        <v>1174</v>
      </c>
      <c r="U40" s="18"/>
      <c r="V40" t="b">
        <f>IF(AND(Table_Trailer_Restock_JSON[[#This Row],[Is Geo Trailer Stock]]=FALSE,Table_Trailer_Restock_JSON[[#This Row],[Is Geo Case Stock]]=FALSE),FALSE,TRUE)</f>
        <v>1</v>
      </c>
    </row>
    <row r="41" spans="1:22" x14ac:dyDescent="0.45">
      <c r="A41">
        <v>12</v>
      </c>
      <c r="B41" t="s">
        <v>53</v>
      </c>
      <c r="E41" t="s">
        <v>40</v>
      </c>
      <c r="F41" t="s">
        <v>54</v>
      </c>
      <c r="G41">
        <v>100</v>
      </c>
      <c r="H41">
        <v>20</v>
      </c>
      <c r="I41" t="s">
        <v>879</v>
      </c>
      <c r="J41" t="b">
        <v>1</v>
      </c>
      <c r="K41" t="b">
        <v>0</v>
      </c>
      <c r="L41" t="b">
        <v>1</v>
      </c>
      <c r="N41" t="s">
        <v>847</v>
      </c>
      <c r="O41" t="s">
        <v>868</v>
      </c>
      <c r="P41" t="s">
        <v>869</v>
      </c>
      <c r="Q41" t="s">
        <v>870</v>
      </c>
      <c r="R41" t="s">
        <v>856</v>
      </c>
      <c r="S41">
        <v>9</v>
      </c>
      <c r="T41" t="s">
        <v>1174</v>
      </c>
      <c r="U41" s="18"/>
      <c r="V41" t="b">
        <f>IF(AND(Table_Trailer_Restock_JSON[[#This Row],[Is Geo Trailer Stock]]=FALSE,Table_Trailer_Restock_JSON[[#This Row],[Is Geo Case Stock]]=FALSE),FALSE,TRUE)</f>
        <v>1</v>
      </c>
    </row>
    <row r="42" spans="1:22" x14ac:dyDescent="0.45">
      <c r="A42">
        <v>9</v>
      </c>
      <c r="B42" t="s">
        <v>47</v>
      </c>
      <c r="E42" t="s">
        <v>40</v>
      </c>
      <c r="F42" t="s">
        <v>48</v>
      </c>
      <c r="G42">
        <v>100</v>
      </c>
      <c r="H42">
        <v>20</v>
      </c>
      <c r="I42" t="s">
        <v>867</v>
      </c>
      <c r="J42" t="b">
        <v>1</v>
      </c>
      <c r="K42" t="b">
        <v>0</v>
      </c>
      <c r="L42" t="b">
        <v>1</v>
      </c>
      <c r="N42" t="s">
        <v>847</v>
      </c>
      <c r="O42" t="s">
        <v>868</v>
      </c>
      <c r="P42" t="s">
        <v>869</v>
      </c>
      <c r="Q42" t="s">
        <v>870</v>
      </c>
      <c r="R42" t="s">
        <v>856</v>
      </c>
      <c r="S42">
        <v>10</v>
      </c>
      <c r="T42" t="s">
        <v>1174</v>
      </c>
      <c r="U42" s="18"/>
      <c r="V42" t="b">
        <f>IF(AND(Table_Trailer_Restock_JSON[[#This Row],[Is Geo Trailer Stock]]=FALSE,Table_Trailer_Restock_JSON[[#This Row],[Is Geo Case Stock]]=FALSE),FALSE,TRUE)</f>
        <v>1</v>
      </c>
    </row>
    <row r="43" spans="1:22" x14ac:dyDescent="0.45">
      <c r="A43">
        <v>10</v>
      </c>
      <c r="B43" t="s">
        <v>49</v>
      </c>
      <c r="E43" t="s">
        <v>40</v>
      </c>
      <c r="F43" t="s">
        <v>50</v>
      </c>
      <c r="G43">
        <v>100</v>
      </c>
      <c r="H43">
        <v>20</v>
      </c>
      <c r="I43" t="s">
        <v>873</v>
      </c>
      <c r="J43" t="b">
        <v>1</v>
      </c>
      <c r="K43" t="b">
        <v>0</v>
      </c>
      <c r="L43" t="b">
        <v>1</v>
      </c>
      <c r="N43" t="s">
        <v>847</v>
      </c>
      <c r="O43" t="s">
        <v>868</v>
      </c>
      <c r="P43" t="s">
        <v>869</v>
      </c>
      <c r="Q43" t="s">
        <v>870</v>
      </c>
      <c r="R43" t="s">
        <v>856</v>
      </c>
      <c r="S43">
        <v>11</v>
      </c>
      <c r="T43" t="s">
        <v>1174</v>
      </c>
      <c r="U43" s="18"/>
      <c r="V43" t="b">
        <f>IF(AND(Table_Trailer_Restock_JSON[[#This Row],[Is Geo Trailer Stock]]=FALSE,Table_Trailer_Restock_JSON[[#This Row],[Is Geo Case Stock]]=FALSE),FALSE,TRUE)</f>
        <v>1</v>
      </c>
    </row>
    <row r="44" spans="1:22" x14ac:dyDescent="0.45">
      <c r="A44">
        <v>11</v>
      </c>
      <c r="B44" t="s">
        <v>51</v>
      </c>
      <c r="E44" t="s">
        <v>40</v>
      </c>
      <c r="F44" t="s">
        <v>52</v>
      </c>
      <c r="G44">
        <v>100</v>
      </c>
      <c r="H44">
        <v>20</v>
      </c>
      <c r="I44" t="s">
        <v>876</v>
      </c>
      <c r="J44" t="b">
        <v>1</v>
      </c>
      <c r="K44" t="b">
        <v>0</v>
      </c>
      <c r="L44" t="b">
        <v>1</v>
      </c>
      <c r="N44" t="s">
        <v>847</v>
      </c>
      <c r="O44" t="s">
        <v>868</v>
      </c>
      <c r="P44" t="s">
        <v>869</v>
      </c>
      <c r="Q44" t="s">
        <v>870</v>
      </c>
      <c r="R44" t="s">
        <v>856</v>
      </c>
      <c r="S44">
        <v>12</v>
      </c>
      <c r="T44" t="s">
        <v>1174</v>
      </c>
      <c r="U44" s="18"/>
      <c r="V44" t="b">
        <f>IF(AND(Table_Trailer_Restock_JSON[[#This Row],[Is Geo Trailer Stock]]=FALSE,Table_Trailer_Restock_JSON[[#This Row],[Is Geo Case Stock]]=FALSE),FALSE,TRUE)</f>
        <v>1</v>
      </c>
    </row>
    <row r="45" spans="1:22" x14ac:dyDescent="0.45">
      <c r="A45">
        <v>13</v>
      </c>
      <c r="B45" t="s">
        <v>55</v>
      </c>
      <c r="E45" t="s">
        <v>40</v>
      </c>
      <c r="F45" t="s">
        <v>56</v>
      </c>
      <c r="G45">
        <v>50</v>
      </c>
      <c r="H45">
        <v>20</v>
      </c>
      <c r="I45" t="s">
        <v>882</v>
      </c>
      <c r="J45" t="b">
        <v>1</v>
      </c>
      <c r="K45" t="b">
        <v>0</v>
      </c>
      <c r="L45" t="b">
        <v>1</v>
      </c>
      <c r="N45" t="s">
        <v>847</v>
      </c>
      <c r="O45" t="s">
        <v>868</v>
      </c>
      <c r="P45" t="s">
        <v>869</v>
      </c>
      <c r="Q45" t="s">
        <v>870</v>
      </c>
      <c r="R45" t="s">
        <v>856</v>
      </c>
      <c r="S45">
        <v>13</v>
      </c>
      <c r="T45" t="s">
        <v>1174</v>
      </c>
      <c r="U45" s="18"/>
      <c r="V45" t="b">
        <f>IF(AND(Table_Trailer_Restock_JSON[[#This Row],[Is Geo Trailer Stock]]=FALSE,Table_Trailer_Restock_JSON[[#This Row],[Is Geo Case Stock]]=FALSE),FALSE,TRUE)</f>
        <v>1</v>
      </c>
    </row>
    <row r="46" spans="1:22" x14ac:dyDescent="0.45">
      <c r="A46">
        <v>36</v>
      </c>
      <c r="B46" t="s">
        <v>117</v>
      </c>
      <c r="E46" t="s">
        <v>29</v>
      </c>
      <c r="F46">
        <v>482425</v>
      </c>
      <c r="G46" t="s">
        <v>120</v>
      </c>
      <c r="H46" t="s">
        <v>121</v>
      </c>
      <c r="I46" t="s">
        <v>932</v>
      </c>
      <c r="J46" t="b">
        <v>1</v>
      </c>
      <c r="K46" t="b">
        <v>0</v>
      </c>
      <c r="L46" t="b">
        <v>1</v>
      </c>
      <c r="N46" t="s">
        <v>118</v>
      </c>
      <c r="O46">
        <v>200</v>
      </c>
      <c r="P46">
        <v>50</v>
      </c>
      <c r="Q46" t="s">
        <v>848</v>
      </c>
      <c r="R46" t="s">
        <v>858</v>
      </c>
      <c r="S46">
        <v>1</v>
      </c>
      <c r="T46" t="s">
        <v>1175</v>
      </c>
      <c r="U46" s="18"/>
      <c r="V46" t="b">
        <f>IF(AND(Table_Trailer_Restock_JSON[[#This Row],[Is Geo Trailer Stock]]=FALSE,Table_Trailer_Restock_JSON[[#This Row],[Is Geo Case Stock]]=FALSE),FALSE,TRUE)</f>
        <v>1</v>
      </c>
    </row>
    <row r="47" spans="1:22" x14ac:dyDescent="0.45">
      <c r="A47">
        <v>37</v>
      </c>
      <c r="B47" t="s">
        <v>123</v>
      </c>
      <c r="E47" t="s">
        <v>29</v>
      </c>
      <c r="F47">
        <v>307195</v>
      </c>
      <c r="G47" t="s">
        <v>120</v>
      </c>
      <c r="H47" t="s">
        <v>121</v>
      </c>
      <c r="I47" t="s">
        <v>933</v>
      </c>
      <c r="J47" t="b">
        <v>1</v>
      </c>
      <c r="K47" t="b">
        <v>0</v>
      </c>
      <c r="L47" t="b">
        <v>1</v>
      </c>
      <c r="N47" t="s">
        <v>118</v>
      </c>
      <c r="O47">
        <v>200</v>
      </c>
      <c r="P47">
        <v>50</v>
      </c>
      <c r="Q47" t="s">
        <v>848</v>
      </c>
      <c r="R47" t="s">
        <v>858</v>
      </c>
      <c r="S47">
        <v>2</v>
      </c>
      <c r="T47" t="s">
        <v>1175</v>
      </c>
      <c r="U47" s="18"/>
      <c r="V47" t="b">
        <f>IF(AND(Table_Trailer_Restock_JSON[[#This Row],[Is Geo Trailer Stock]]=FALSE,Table_Trailer_Restock_JSON[[#This Row],[Is Geo Case Stock]]=FALSE),FALSE,TRUE)</f>
        <v>1</v>
      </c>
    </row>
    <row r="48" spans="1:22" x14ac:dyDescent="0.45">
      <c r="A48">
        <v>38</v>
      </c>
      <c r="B48" t="s">
        <v>125</v>
      </c>
      <c r="E48" t="s">
        <v>29</v>
      </c>
      <c r="F48" t="s">
        <v>127</v>
      </c>
      <c r="G48" t="s">
        <v>128</v>
      </c>
      <c r="H48" t="s">
        <v>128</v>
      </c>
      <c r="I48" t="s">
        <v>934</v>
      </c>
      <c r="J48" t="b">
        <v>1</v>
      </c>
      <c r="K48" t="b">
        <v>0</v>
      </c>
      <c r="L48" t="b">
        <v>1</v>
      </c>
      <c r="N48" t="s">
        <v>118</v>
      </c>
      <c r="O48">
        <v>2</v>
      </c>
      <c r="P48">
        <v>1</v>
      </c>
      <c r="Q48" t="s">
        <v>848</v>
      </c>
      <c r="R48" t="s">
        <v>858</v>
      </c>
      <c r="S48">
        <v>3</v>
      </c>
      <c r="T48" t="s">
        <v>1175</v>
      </c>
      <c r="U48" s="18"/>
      <c r="V48" t="b">
        <f>IF(AND(Table_Trailer_Restock_JSON[[#This Row],[Is Geo Trailer Stock]]=FALSE,Table_Trailer_Restock_JSON[[#This Row],[Is Geo Case Stock]]=FALSE),FALSE,TRUE)</f>
        <v>1</v>
      </c>
    </row>
    <row r="49" spans="1:22" x14ac:dyDescent="0.45">
      <c r="A49">
        <v>39</v>
      </c>
      <c r="B49" t="s">
        <v>129</v>
      </c>
      <c r="E49" t="s">
        <v>101</v>
      </c>
      <c r="F49" t="s">
        <v>130</v>
      </c>
      <c r="G49">
        <v>50</v>
      </c>
      <c r="H49">
        <v>20</v>
      </c>
      <c r="I49" t="s">
        <v>935</v>
      </c>
      <c r="J49" t="b">
        <v>1</v>
      </c>
      <c r="K49" t="b">
        <v>0</v>
      </c>
      <c r="L49" t="b">
        <v>1</v>
      </c>
      <c r="N49" t="s">
        <v>118</v>
      </c>
      <c r="O49">
        <v>20</v>
      </c>
      <c r="P49">
        <v>10</v>
      </c>
      <c r="Q49" t="s">
        <v>848</v>
      </c>
      <c r="R49" t="s">
        <v>858</v>
      </c>
      <c r="S49">
        <v>4</v>
      </c>
      <c r="T49" t="s">
        <v>1175</v>
      </c>
      <c r="U49" s="18"/>
      <c r="V49" t="b">
        <f>IF(AND(Table_Trailer_Restock_JSON[[#This Row],[Is Geo Trailer Stock]]=FALSE,Table_Trailer_Restock_JSON[[#This Row],[Is Geo Case Stock]]=FALSE),FALSE,TRUE)</f>
        <v>1</v>
      </c>
    </row>
    <row r="50" spans="1:22" x14ac:dyDescent="0.45">
      <c r="A50">
        <v>40</v>
      </c>
      <c r="B50" t="s">
        <v>131</v>
      </c>
      <c r="E50" t="s">
        <v>29</v>
      </c>
      <c r="F50">
        <v>296167</v>
      </c>
      <c r="G50">
        <v>100</v>
      </c>
      <c r="H50">
        <v>20</v>
      </c>
      <c r="I50" t="s">
        <v>936</v>
      </c>
      <c r="J50" t="b">
        <v>1</v>
      </c>
      <c r="K50" t="b">
        <v>0</v>
      </c>
      <c r="L50" t="b">
        <v>1</v>
      </c>
      <c r="N50" t="s">
        <v>118</v>
      </c>
      <c r="O50" t="s">
        <v>885</v>
      </c>
      <c r="P50">
        <v>10</v>
      </c>
      <c r="Q50" t="s">
        <v>870</v>
      </c>
      <c r="R50" t="s">
        <v>858</v>
      </c>
      <c r="S50">
        <v>5</v>
      </c>
      <c r="T50" t="s">
        <v>1175</v>
      </c>
      <c r="U50" s="18"/>
      <c r="V50" t="b">
        <f>IF(AND(Table_Trailer_Restock_JSON[[#This Row],[Is Geo Trailer Stock]]=FALSE,Table_Trailer_Restock_JSON[[#This Row],[Is Geo Case Stock]]=FALSE),FALSE,TRUE)</f>
        <v>1</v>
      </c>
    </row>
    <row r="51" spans="1:22" x14ac:dyDescent="0.45">
      <c r="A51">
        <v>41</v>
      </c>
      <c r="B51" t="s">
        <v>133</v>
      </c>
      <c r="E51" t="s">
        <v>40</v>
      </c>
      <c r="F51" t="s">
        <v>136</v>
      </c>
      <c r="G51">
        <v>4</v>
      </c>
      <c r="H51">
        <v>4</v>
      </c>
      <c r="I51" t="s">
        <v>937</v>
      </c>
      <c r="J51" t="b">
        <v>1</v>
      </c>
      <c r="K51" t="b">
        <v>0</v>
      </c>
      <c r="L51" t="b">
        <v>1</v>
      </c>
      <c r="N51" t="s">
        <v>134</v>
      </c>
      <c r="O51">
        <v>2</v>
      </c>
      <c r="Q51" t="s">
        <v>848</v>
      </c>
      <c r="R51" t="s">
        <v>860</v>
      </c>
      <c r="S51">
        <v>1</v>
      </c>
      <c r="T51" t="s">
        <v>1176</v>
      </c>
      <c r="U51" s="18"/>
      <c r="V51" t="b">
        <f>IF(AND(Table_Trailer_Restock_JSON[[#This Row],[Is Geo Trailer Stock]]=FALSE,Table_Trailer_Restock_JSON[[#This Row],[Is Geo Case Stock]]=FALSE),FALSE,TRUE)</f>
        <v>1</v>
      </c>
    </row>
    <row r="52" spans="1:22" x14ac:dyDescent="0.45">
      <c r="A52">
        <v>42</v>
      </c>
      <c r="B52" t="s">
        <v>137</v>
      </c>
      <c r="E52" t="s">
        <v>40</v>
      </c>
      <c r="F52" t="s">
        <v>138</v>
      </c>
      <c r="G52" t="s">
        <v>139</v>
      </c>
      <c r="H52" t="s">
        <v>139</v>
      </c>
      <c r="I52" t="s">
        <v>938</v>
      </c>
      <c r="J52" t="b">
        <v>1</v>
      </c>
      <c r="K52" t="b">
        <v>0</v>
      </c>
      <c r="L52" t="b">
        <v>1</v>
      </c>
      <c r="N52" t="s">
        <v>134</v>
      </c>
      <c r="O52" t="s">
        <v>891</v>
      </c>
      <c r="P52" t="s">
        <v>885</v>
      </c>
      <c r="Q52" t="s">
        <v>870</v>
      </c>
      <c r="R52" t="s">
        <v>860</v>
      </c>
      <c r="S52">
        <v>2</v>
      </c>
      <c r="T52" t="s">
        <v>1176</v>
      </c>
      <c r="U52" s="18"/>
      <c r="V52" t="b">
        <f>IF(AND(Table_Trailer_Restock_JSON[[#This Row],[Is Geo Trailer Stock]]=FALSE,Table_Trailer_Restock_JSON[[#This Row],[Is Geo Case Stock]]=FALSE),FALSE,TRUE)</f>
        <v>1</v>
      </c>
    </row>
    <row r="53" spans="1:22" x14ac:dyDescent="0.45">
      <c r="A53">
        <v>43</v>
      </c>
      <c r="B53" t="s">
        <v>140</v>
      </c>
      <c r="E53" t="s">
        <v>40</v>
      </c>
      <c r="F53" t="s">
        <v>141</v>
      </c>
      <c r="G53" t="s">
        <v>139</v>
      </c>
      <c r="H53" t="s">
        <v>139</v>
      </c>
      <c r="I53" t="s">
        <v>939</v>
      </c>
      <c r="J53" t="b">
        <v>1</v>
      </c>
      <c r="K53" t="b">
        <v>0</v>
      </c>
      <c r="L53" t="b">
        <v>1</v>
      </c>
      <c r="N53" t="s">
        <v>134</v>
      </c>
      <c r="O53" t="s">
        <v>885</v>
      </c>
      <c r="P53">
        <v>10</v>
      </c>
      <c r="Q53" t="s">
        <v>870</v>
      </c>
      <c r="R53" t="s">
        <v>860</v>
      </c>
      <c r="S53">
        <v>3</v>
      </c>
      <c r="T53" t="s">
        <v>1176</v>
      </c>
      <c r="U53" s="18"/>
      <c r="V53" t="b">
        <f>IF(AND(Table_Trailer_Restock_JSON[[#This Row],[Is Geo Trailer Stock]]=FALSE,Table_Trailer_Restock_JSON[[#This Row],[Is Geo Case Stock]]=FALSE),FALSE,TRUE)</f>
        <v>1</v>
      </c>
    </row>
    <row r="54" spans="1:22" x14ac:dyDescent="0.45">
      <c r="A54">
        <v>44</v>
      </c>
      <c r="B54" t="s">
        <v>142</v>
      </c>
      <c r="E54" t="s">
        <v>40</v>
      </c>
      <c r="F54" t="s">
        <v>143</v>
      </c>
      <c r="G54">
        <v>4</v>
      </c>
      <c r="H54">
        <v>4</v>
      </c>
      <c r="I54" t="s">
        <v>940</v>
      </c>
      <c r="J54" t="b">
        <v>1</v>
      </c>
      <c r="K54" t="b">
        <v>0</v>
      </c>
      <c r="L54" t="b">
        <v>1</v>
      </c>
      <c r="N54" t="s">
        <v>134</v>
      </c>
      <c r="O54">
        <v>2</v>
      </c>
      <c r="Q54" t="s">
        <v>848</v>
      </c>
      <c r="R54" t="s">
        <v>860</v>
      </c>
      <c r="S54">
        <v>4</v>
      </c>
      <c r="T54" t="s">
        <v>1176</v>
      </c>
      <c r="U54" s="18"/>
      <c r="V54" t="b">
        <f>IF(AND(Table_Trailer_Restock_JSON[[#This Row],[Is Geo Trailer Stock]]=FALSE,Table_Trailer_Restock_JSON[[#This Row],[Is Geo Case Stock]]=FALSE),FALSE,TRUE)</f>
        <v>1</v>
      </c>
    </row>
    <row r="55" spans="1:22" x14ac:dyDescent="0.45">
      <c r="A55">
        <v>45</v>
      </c>
      <c r="B55" t="s">
        <v>144</v>
      </c>
      <c r="E55" t="s">
        <v>40</v>
      </c>
      <c r="F55" t="s">
        <v>146</v>
      </c>
      <c r="G55" t="s">
        <v>147</v>
      </c>
      <c r="H55" t="s">
        <v>147</v>
      </c>
      <c r="I55" t="s">
        <v>941</v>
      </c>
      <c r="J55" t="b">
        <v>1</v>
      </c>
      <c r="K55" t="b">
        <v>0</v>
      </c>
      <c r="L55" t="b">
        <v>1</v>
      </c>
      <c r="N55" t="s">
        <v>134</v>
      </c>
      <c r="O55" t="s">
        <v>891</v>
      </c>
      <c r="P55" t="s">
        <v>885</v>
      </c>
      <c r="Q55" t="s">
        <v>870</v>
      </c>
      <c r="R55" t="s">
        <v>860</v>
      </c>
      <c r="S55">
        <v>5</v>
      </c>
      <c r="T55" t="s">
        <v>1176</v>
      </c>
      <c r="U55" s="18"/>
      <c r="V55" t="b">
        <f>IF(AND(Table_Trailer_Restock_JSON[[#This Row],[Is Geo Trailer Stock]]=FALSE,Table_Trailer_Restock_JSON[[#This Row],[Is Geo Case Stock]]=FALSE),FALSE,TRUE)</f>
        <v>1</v>
      </c>
    </row>
    <row r="56" spans="1:22" x14ac:dyDescent="0.45">
      <c r="A56">
        <v>46</v>
      </c>
      <c r="B56" t="s">
        <v>148</v>
      </c>
      <c r="E56" t="s">
        <v>40</v>
      </c>
      <c r="F56" t="s">
        <v>149</v>
      </c>
      <c r="G56" t="s">
        <v>139</v>
      </c>
      <c r="H56" t="s">
        <v>139</v>
      </c>
      <c r="I56" t="s">
        <v>942</v>
      </c>
      <c r="J56" t="b">
        <v>1</v>
      </c>
      <c r="K56" t="b">
        <v>0</v>
      </c>
      <c r="L56" t="b">
        <v>1</v>
      </c>
      <c r="N56" t="s">
        <v>134</v>
      </c>
      <c r="O56" t="s">
        <v>885</v>
      </c>
      <c r="P56">
        <v>10</v>
      </c>
      <c r="Q56" t="s">
        <v>870</v>
      </c>
      <c r="R56" t="s">
        <v>860</v>
      </c>
      <c r="S56">
        <v>6</v>
      </c>
      <c r="T56" t="s">
        <v>1176</v>
      </c>
      <c r="U56" s="18"/>
      <c r="V56" t="b">
        <f>IF(AND(Table_Trailer_Restock_JSON[[#This Row],[Is Geo Trailer Stock]]=FALSE,Table_Trailer_Restock_JSON[[#This Row],[Is Geo Case Stock]]=FALSE),FALSE,TRUE)</f>
        <v>1</v>
      </c>
    </row>
    <row r="57" spans="1:22" x14ac:dyDescent="0.45">
      <c r="A57">
        <v>47</v>
      </c>
      <c r="B57" t="s">
        <v>150</v>
      </c>
      <c r="E57" t="s">
        <v>40</v>
      </c>
      <c r="F57" t="s">
        <v>152</v>
      </c>
      <c r="G57">
        <v>3</v>
      </c>
      <c r="H57">
        <v>3</v>
      </c>
      <c r="I57" t="s">
        <v>943</v>
      </c>
      <c r="J57" t="b">
        <v>1</v>
      </c>
      <c r="K57" t="b">
        <v>0</v>
      </c>
      <c r="L57" t="b">
        <v>1</v>
      </c>
      <c r="N57" t="s">
        <v>134</v>
      </c>
      <c r="O57">
        <v>12</v>
      </c>
      <c r="P57">
        <v>6</v>
      </c>
      <c r="Q57" t="s">
        <v>848</v>
      </c>
      <c r="R57" t="s">
        <v>860</v>
      </c>
      <c r="S57">
        <v>7</v>
      </c>
      <c r="T57" t="s">
        <v>1176</v>
      </c>
      <c r="U57" s="18"/>
      <c r="V57" t="b">
        <f>IF(AND(Table_Trailer_Restock_JSON[[#This Row],[Is Geo Trailer Stock]]=FALSE,Table_Trailer_Restock_JSON[[#This Row],[Is Geo Case Stock]]=FALSE),FALSE,TRUE)</f>
        <v>1</v>
      </c>
    </row>
    <row r="58" spans="1:22" x14ac:dyDescent="0.45">
      <c r="A58">
        <v>48</v>
      </c>
      <c r="B58" t="s">
        <v>153</v>
      </c>
      <c r="E58" t="s">
        <v>40</v>
      </c>
      <c r="F58" t="s">
        <v>154</v>
      </c>
      <c r="G58">
        <v>3</v>
      </c>
      <c r="H58">
        <v>3</v>
      </c>
      <c r="I58" t="s">
        <v>944</v>
      </c>
      <c r="J58" t="b">
        <v>1</v>
      </c>
      <c r="K58" t="b">
        <v>0</v>
      </c>
      <c r="L58" t="b">
        <v>1</v>
      </c>
      <c r="N58" t="s">
        <v>134</v>
      </c>
      <c r="O58">
        <v>2</v>
      </c>
      <c r="Q58" t="s">
        <v>848</v>
      </c>
      <c r="R58" t="s">
        <v>860</v>
      </c>
      <c r="S58">
        <v>8</v>
      </c>
      <c r="T58" t="s">
        <v>1176</v>
      </c>
      <c r="U58" s="18"/>
      <c r="V58" t="b">
        <f>IF(AND(Table_Trailer_Restock_JSON[[#This Row],[Is Geo Trailer Stock]]=FALSE,Table_Trailer_Restock_JSON[[#This Row],[Is Geo Case Stock]]=FALSE),FALSE,TRUE)</f>
        <v>1</v>
      </c>
    </row>
    <row r="59" spans="1:22" x14ac:dyDescent="0.45">
      <c r="A59">
        <v>49</v>
      </c>
      <c r="B59" t="s">
        <v>155</v>
      </c>
      <c r="E59" t="s">
        <v>40</v>
      </c>
      <c r="F59" t="s">
        <v>156</v>
      </c>
      <c r="G59" t="s">
        <v>147</v>
      </c>
      <c r="H59" t="s">
        <v>139</v>
      </c>
      <c r="I59" t="s">
        <v>945</v>
      </c>
      <c r="J59" t="b">
        <v>1</v>
      </c>
      <c r="K59" t="b">
        <v>0</v>
      </c>
      <c r="L59" t="b">
        <v>1</v>
      </c>
      <c r="N59" t="s">
        <v>134</v>
      </c>
      <c r="O59" t="s">
        <v>891</v>
      </c>
      <c r="P59" t="s">
        <v>868</v>
      </c>
      <c r="Q59" t="s">
        <v>870</v>
      </c>
      <c r="R59" t="s">
        <v>860</v>
      </c>
      <c r="S59">
        <v>9</v>
      </c>
      <c r="T59" t="s">
        <v>1176</v>
      </c>
      <c r="U59" s="18"/>
      <c r="V59" t="b">
        <f>IF(AND(Table_Trailer_Restock_JSON[[#This Row],[Is Geo Trailer Stock]]=FALSE,Table_Trailer_Restock_JSON[[#This Row],[Is Geo Case Stock]]=FALSE),FALSE,TRUE)</f>
        <v>1</v>
      </c>
    </row>
    <row r="60" spans="1:22" x14ac:dyDescent="0.45">
      <c r="A60">
        <v>50</v>
      </c>
      <c r="B60" t="s">
        <v>157</v>
      </c>
      <c r="E60" t="s">
        <v>40</v>
      </c>
      <c r="F60" t="s">
        <v>158</v>
      </c>
      <c r="G60" t="s">
        <v>139</v>
      </c>
      <c r="H60" t="s">
        <v>139</v>
      </c>
      <c r="I60" t="s">
        <v>946</v>
      </c>
      <c r="J60" t="b">
        <v>1</v>
      </c>
      <c r="K60" t="b">
        <v>0</v>
      </c>
      <c r="L60" t="b">
        <v>1</v>
      </c>
      <c r="N60" t="s">
        <v>134</v>
      </c>
      <c r="O60" t="s">
        <v>885</v>
      </c>
      <c r="P60">
        <v>10</v>
      </c>
      <c r="Q60" t="s">
        <v>870</v>
      </c>
      <c r="R60" t="s">
        <v>860</v>
      </c>
      <c r="S60">
        <v>10</v>
      </c>
      <c r="T60" t="s">
        <v>1176</v>
      </c>
      <c r="U60" s="18"/>
      <c r="V60" t="b">
        <f>IF(AND(Table_Trailer_Restock_JSON[[#This Row],[Is Geo Trailer Stock]]=FALSE,Table_Trailer_Restock_JSON[[#This Row],[Is Geo Case Stock]]=FALSE),FALSE,TRUE)</f>
        <v>1</v>
      </c>
    </row>
    <row r="61" spans="1:22" x14ac:dyDescent="0.45">
      <c r="A61">
        <v>51</v>
      </c>
      <c r="B61" t="s">
        <v>159</v>
      </c>
      <c r="E61" t="s">
        <v>40</v>
      </c>
      <c r="F61" t="s">
        <v>161</v>
      </c>
      <c r="G61">
        <v>6</v>
      </c>
      <c r="H61">
        <v>6</v>
      </c>
      <c r="I61" t="s">
        <v>947</v>
      </c>
      <c r="J61" t="b">
        <v>1</v>
      </c>
      <c r="K61" t="b">
        <v>0</v>
      </c>
      <c r="L61" t="b">
        <v>1</v>
      </c>
      <c r="N61" t="s">
        <v>134</v>
      </c>
      <c r="O61">
        <v>2</v>
      </c>
      <c r="Q61" t="s">
        <v>848</v>
      </c>
      <c r="R61" t="s">
        <v>860</v>
      </c>
      <c r="S61">
        <v>11</v>
      </c>
      <c r="T61" t="s">
        <v>1176</v>
      </c>
      <c r="U61" s="18"/>
      <c r="V61" t="b">
        <f>IF(AND(Table_Trailer_Restock_JSON[[#This Row],[Is Geo Trailer Stock]]=FALSE,Table_Trailer_Restock_JSON[[#This Row],[Is Geo Case Stock]]=FALSE),FALSE,TRUE)</f>
        <v>1</v>
      </c>
    </row>
    <row r="62" spans="1:22" x14ac:dyDescent="0.45">
      <c r="A62">
        <v>52</v>
      </c>
      <c r="B62" t="s">
        <v>162</v>
      </c>
      <c r="E62" t="s">
        <v>40</v>
      </c>
      <c r="F62" t="s">
        <v>163</v>
      </c>
      <c r="G62">
        <v>5</v>
      </c>
      <c r="H62">
        <v>10</v>
      </c>
      <c r="I62" t="s">
        <v>948</v>
      </c>
      <c r="J62" t="b">
        <v>1</v>
      </c>
      <c r="K62" t="b">
        <v>0</v>
      </c>
      <c r="L62" t="b">
        <v>1</v>
      </c>
      <c r="N62" t="s">
        <v>863</v>
      </c>
      <c r="O62">
        <v>12</v>
      </c>
      <c r="P62">
        <v>6</v>
      </c>
      <c r="Q62" t="s">
        <v>848</v>
      </c>
      <c r="R62" t="s">
        <v>862</v>
      </c>
      <c r="S62">
        <v>1</v>
      </c>
      <c r="T62" t="s">
        <v>1177</v>
      </c>
      <c r="U62" s="18"/>
      <c r="V62" t="b">
        <f>IF(AND(Table_Trailer_Restock_JSON[[#This Row],[Is Geo Trailer Stock]]=FALSE,Table_Trailer_Restock_JSON[[#This Row],[Is Geo Case Stock]]=FALSE),FALSE,TRUE)</f>
        <v>1</v>
      </c>
    </row>
    <row r="63" spans="1:22" x14ac:dyDescent="0.45">
      <c r="A63">
        <v>53</v>
      </c>
      <c r="B63" t="s">
        <v>164</v>
      </c>
      <c r="E63" t="s">
        <v>40</v>
      </c>
      <c r="F63" t="s">
        <v>165</v>
      </c>
      <c r="G63">
        <v>40</v>
      </c>
      <c r="H63">
        <v>20</v>
      </c>
      <c r="I63" t="s">
        <v>949</v>
      </c>
      <c r="J63" t="b">
        <v>1</v>
      </c>
      <c r="K63" t="b">
        <v>0</v>
      </c>
      <c r="L63" t="b">
        <v>1</v>
      </c>
      <c r="N63" t="s">
        <v>863</v>
      </c>
      <c r="O63">
        <v>20</v>
      </c>
      <c r="P63">
        <v>6</v>
      </c>
      <c r="Q63" t="s">
        <v>848</v>
      </c>
      <c r="R63" t="s">
        <v>862</v>
      </c>
      <c r="S63">
        <v>2</v>
      </c>
      <c r="T63" t="s">
        <v>1177</v>
      </c>
      <c r="U63" s="18"/>
      <c r="V63" t="b">
        <f>IF(AND(Table_Trailer_Restock_JSON[[#This Row],[Is Geo Trailer Stock]]=FALSE,Table_Trailer_Restock_JSON[[#This Row],[Is Geo Case Stock]]=FALSE),FALSE,TRUE)</f>
        <v>1</v>
      </c>
    </row>
    <row r="64" spans="1:22" x14ac:dyDescent="0.45">
      <c r="A64">
        <v>54</v>
      </c>
      <c r="B64" t="s">
        <v>166</v>
      </c>
      <c r="E64" t="s">
        <v>40</v>
      </c>
      <c r="F64" t="s">
        <v>167</v>
      </c>
      <c r="G64">
        <v>20</v>
      </c>
      <c r="H64">
        <v>10</v>
      </c>
      <c r="I64" t="s">
        <v>950</v>
      </c>
      <c r="J64" t="b">
        <v>1</v>
      </c>
      <c r="K64" t="b">
        <v>0</v>
      </c>
      <c r="L64" t="b">
        <v>1</v>
      </c>
      <c r="N64" t="s">
        <v>863</v>
      </c>
      <c r="O64">
        <v>20</v>
      </c>
      <c r="P64">
        <v>6</v>
      </c>
      <c r="Q64" t="s">
        <v>848</v>
      </c>
      <c r="R64" t="s">
        <v>862</v>
      </c>
      <c r="S64">
        <v>3</v>
      </c>
      <c r="T64" t="s">
        <v>1177</v>
      </c>
      <c r="U64" s="18"/>
      <c r="V64" t="b">
        <f>IF(AND(Table_Trailer_Restock_JSON[[#This Row],[Is Geo Trailer Stock]]=FALSE,Table_Trailer_Restock_JSON[[#This Row],[Is Geo Case Stock]]=FALSE),FALSE,TRUE)</f>
        <v>1</v>
      </c>
    </row>
    <row r="65" spans="1:22" x14ac:dyDescent="0.45">
      <c r="A65">
        <v>55</v>
      </c>
      <c r="B65" t="s">
        <v>168</v>
      </c>
      <c r="E65" t="s">
        <v>40</v>
      </c>
      <c r="F65" t="s">
        <v>169</v>
      </c>
      <c r="G65">
        <v>20</v>
      </c>
      <c r="H65">
        <v>10</v>
      </c>
      <c r="I65" t="s">
        <v>951</v>
      </c>
      <c r="J65" t="b">
        <v>1</v>
      </c>
      <c r="K65" t="b">
        <v>0</v>
      </c>
      <c r="L65" t="b">
        <v>1</v>
      </c>
      <c r="N65" t="s">
        <v>863</v>
      </c>
      <c r="O65">
        <v>6</v>
      </c>
      <c r="P65">
        <v>2</v>
      </c>
      <c r="Q65" t="s">
        <v>848</v>
      </c>
      <c r="R65" t="s">
        <v>862</v>
      </c>
      <c r="S65">
        <v>4</v>
      </c>
      <c r="T65" t="s">
        <v>1177</v>
      </c>
      <c r="U65" s="18"/>
      <c r="V65" t="b">
        <f>IF(AND(Table_Trailer_Restock_JSON[[#This Row],[Is Geo Trailer Stock]]=FALSE,Table_Trailer_Restock_JSON[[#This Row],[Is Geo Case Stock]]=FALSE),FALSE,TRUE)</f>
        <v>1</v>
      </c>
    </row>
    <row r="66" spans="1:22" x14ac:dyDescent="0.45">
      <c r="A66">
        <v>56</v>
      </c>
      <c r="B66" t="s">
        <v>170</v>
      </c>
      <c r="E66" t="s">
        <v>40</v>
      </c>
      <c r="F66" t="s">
        <v>171</v>
      </c>
      <c r="G66">
        <v>10</v>
      </c>
      <c r="H66">
        <v>10</v>
      </c>
      <c r="I66" t="s">
        <v>952</v>
      </c>
      <c r="J66" t="b">
        <v>1</v>
      </c>
      <c r="K66" t="b">
        <v>0</v>
      </c>
      <c r="L66" t="b">
        <v>1</v>
      </c>
      <c r="N66" t="s">
        <v>863</v>
      </c>
      <c r="O66">
        <v>8</v>
      </c>
      <c r="P66">
        <v>2</v>
      </c>
      <c r="Q66" t="s">
        <v>848</v>
      </c>
      <c r="R66" t="s">
        <v>862</v>
      </c>
      <c r="S66">
        <v>5</v>
      </c>
      <c r="T66" t="s">
        <v>1177</v>
      </c>
      <c r="U66" s="18"/>
      <c r="V66" t="b">
        <f>IF(AND(Table_Trailer_Restock_JSON[[#This Row],[Is Geo Trailer Stock]]=FALSE,Table_Trailer_Restock_JSON[[#This Row],[Is Geo Case Stock]]=FALSE),FALSE,TRUE)</f>
        <v>1</v>
      </c>
    </row>
    <row r="67" spans="1:22" x14ac:dyDescent="0.45">
      <c r="A67">
        <v>57</v>
      </c>
      <c r="B67" t="s">
        <v>172</v>
      </c>
      <c r="E67" t="s">
        <v>40</v>
      </c>
      <c r="F67" t="s">
        <v>173</v>
      </c>
      <c r="G67">
        <v>6</v>
      </c>
      <c r="H67">
        <v>4</v>
      </c>
      <c r="I67" t="s">
        <v>953</v>
      </c>
      <c r="J67" t="b">
        <v>1</v>
      </c>
      <c r="K67" t="b">
        <v>0</v>
      </c>
      <c r="L67" t="b">
        <v>1</v>
      </c>
      <c r="N67" t="s">
        <v>863</v>
      </c>
      <c r="O67">
        <v>2</v>
      </c>
      <c r="P67">
        <v>1</v>
      </c>
      <c r="Q67" t="s">
        <v>848</v>
      </c>
      <c r="R67" t="s">
        <v>862</v>
      </c>
      <c r="S67">
        <v>6</v>
      </c>
      <c r="T67" t="s">
        <v>1177</v>
      </c>
      <c r="U67" s="18"/>
      <c r="V67" t="b">
        <f>IF(AND(Table_Trailer_Restock_JSON[[#This Row],[Is Geo Trailer Stock]]=FALSE,Table_Trailer_Restock_JSON[[#This Row],[Is Geo Case Stock]]=FALSE),FALSE,TRUE)</f>
        <v>1</v>
      </c>
    </row>
    <row r="68" spans="1:22" x14ac:dyDescent="0.45">
      <c r="A68">
        <v>58</v>
      </c>
      <c r="B68" t="s">
        <v>174</v>
      </c>
      <c r="E68" t="s">
        <v>40</v>
      </c>
      <c r="F68" t="s">
        <v>175</v>
      </c>
      <c r="G68">
        <v>4</v>
      </c>
      <c r="H68">
        <v>4</v>
      </c>
      <c r="I68" t="s">
        <v>954</v>
      </c>
      <c r="J68" t="b">
        <v>1</v>
      </c>
      <c r="K68" t="b">
        <v>0</v>
      </c>
      <c r="L68" t="b">
        <v>1</v>
      </c>
      <c r="N68" t="s">
        <v>863</v>
      </c>
      <c r="O68">
        <v>6</v>
      </c>
      <c r="P68">
        <v>2</v>
      </c>
      <c r="Q68" t="s">
        <v>848</v>
      </c>
      <c r="R68" t="s">
        <v>862</v>
      </c>
      <c r="S68">
        <v>7</v>
      </c>
      <c r="T68" t="s">
        <v>1177</v>
      </c>
      <c r="U68" s="18"/>
      <c r="V68" t="b">
        <f>IF(AND(Table_Trailer_Restock_JSON[[#This Row],[Is Geo Trailer Stock]]=FALSE,Table_Trailer_Restock_JSON[[#This Row],[Is Geo Case Stock]]=FALSE),FALSE,TRUE)</f>
        <v>1</v>
      </c>
    </row>
    <row r="69" spans="1:22" x14ac:dyDescent="0.45">
      <c r="A69">
        <v>59</v>
      </c>
      <c r="B69" t="s">
        <v>176</v>
      </c>
      <c r="E69" t="s">
        <v>40</v>
      </c>
      <c r="F69" t="s">
        <v>177</v>
      </c>
      <c r="G69">
        <v>12</v>
      </c>
      <c r="H69">
        <v>12</v>
      </c>
      <c r="I69" t="s">
        <v>955</v>
      </c>
      <c r="J69" t="b">
        <v>1</v>
      </c>
      <c r="K69" t="b">
        <v>0</v>
      </c>
      <c r="L69" t="b">
        <v>1</v>
      </c>
      <c r="N69" t="s">
        <v>863</v>
      </c>
      <c r="O69">
        <v>12</v>
      </c>
      <c r="P69">
        <v>4</v>
      </c>
      <c r="Q69" t="s">
        <v>848</v>
      </c>
      <c r="R69" t="s">
        <v>862</v>
      </c>
      <c r="S69">
        <v>8</v>
      </c>
      <c r="T69" t="s">
        <v>1177</v>
      </c>
      <c r="U69" s="18"/>
      <c r="V69" t="b">
        <f>IF(AND(Table_Trailer_Restock_JSON[[#This Row],[Is Geo Trailer Stock]]=FALSE,Table_Trailer_Restock_JSON[[#This Row],[Is Geo Case Stock]]=FALSE),FALSE,TRUE)</f>
        <v>1</v>
      </c>
    </row>
    <row r="70" spans="1:22" x14ac:dyDescent="0.45">
      <c r="A70">
        <v>60</v>
      </c>
      <c r="B70" t="s">
        <v>178</v>
      </c>
      <c r="E70" t="s">
        <v>40</v>
      </c>
      <c r="F70" t="s">
        <v>179</v>
      </c>
      <c r="G70">
        <v>10</v>
      </c>
      <c r="H70">
        <v>10</v>
      </c>
      <c r="I70" t="s">
        <v>956</v>
      </c>
      <c r="J70" t="b">
        <v>1</v>
      </c>
      <c r="K70" t="b">
        <v>0</v>
      </c>
      <c r="L70" t="b">
        <v>1</v>
      </c>
      <c r="N70" t="s">
        <v>863</v>
      </c>
      <c r="O70">
        <v>12</v>
      </c>
      <c r="P70">
        <v>4</v>
      </c>
      <c r="Q70" t="s">
        <v>848</v>
      </c>
      <c r="R70" t="s">
        <v>862</v>
      </c>
      <c r="S70">
        <v>9</v>
      </c>
      <c r="T70" t="s">
        <v>1177</v>
      </c>
      <c r="U70" s="18"/>
      <c r="V70" t="b">
        <f>IF(AND(Table_Trailer_Restock_JSON[[#This Row],[Is Geo Trailer Stock]]=FALSE,Table_Trailer_Restock_JSON[[#This Row],[Is Geo Case Stock]]=FALSE),FALSE,TRUE)</f>
        <v>1</v>
      </c>
    </row>
    <row r="71" spans="1:22" x14ac:dyDescent="0.45">
      <c r="A71">
        <v>61</v>
      </c>
      <c r="B71" t="s">
        <v>180</v>
      </c>
      <c r="E71" t="s">
        <v>40</v>
      </c>
      <c r="F71" t="s">
        <v>181</v>
      </c>
      <c r="G71">
        <v>10</v>
      </c>
      <c r="H71">
        <v>10</v>
      </c>
      <c r="I71" t="s">
        <v>957</v>
      </c>
      <c r="J71" t="b">
        <v>1</v>
      </c>
      <c r="K71" t="b">
        <v>0</v>
      </c>
      <c r="L71" t="b">
        <v>1</v>
      </c>
      <c r="N71" t="s">
        <v>863</v>
      </c>
      <c r="O71">
        <v>12</v>
      </c>
      <c r="P71">
        <v>4</v>
      </c>
      <c r="Q71" t="s">
        <v>848</v>
      </c>
      <c r="R71" t="s">
        <v>862</v>
      </c>
      <c r="S71">
        <v>10</v>
      </c>
      <c r="T71" t="s">
        <v>1177</v>
      </c>
      <c r="U71" s="18"/>
      <c r="V71" t="b">
        <f>IF(AND(Table_Trailer_Restock_JSON[[#This Row],[Is Geo Trailer Stock]]=FALSE,Table_Trailer_Restock_JSON[[#This Row],[Is Geo Case Stock]]=FALSE),FALSE,TRUE)</f>
        <v>1</v>
      </c>
    </row>
    <row r="72" spans="1:22" x14ac:dyDescent="0.45">
      <c r="A72">
        <v>79</v>
      </c>
      <c r="B72" t="s">
        <v>216</v>
      </c>
      <c r="E72" t="s">
        <v>40</v>
      </c>
      <c r="F72" t="s">
        <v>218</v>
      </c>
      <c r="G72">
        <v>20</v>
      </c>
      <c r="H72">
        <v>20</v>
      </c>
      <c r="I72" t="s">
        <v>975</v>
      </c>
      <c r="J72" t="b">
        <v>1</v>
      </c>
      <c r="K72" t="b">
        <v>0</v>
      </c>
      <c r="L72" t="b">
        <v>1</v>
      </c>
      <c r="N72" t="s">
        <v>866</v>
      </c>
      <c r="O72">
        <v>12</v>
      </c>
      <c r="P72">
        <v>6</v>
      </c>
      <c r="Q72" t="s">
        <v>848</v>
      </c>
      <c r="R72" t="s">
        <v>865</v>
      </c>
      <c r="S72">
        <v>1</v>
      </c>
      <c r="T72" t="s">
        <v>1178</v>
      </c>
      <c r="U72" s="18"/>
      <c r="V72" t="b">
        <f>IF(AND(Table_Trailer_Restock_JSON[[#This Row],[Is Geo Trailer Stock]]=FALSE,Table_Trailer_Restock_JSON[[#This Row],[Is Geo Case Stock]]=FALSE),FALSE,TRUE)</f>
        <v>1</v>
      </c>
    </row>
    <row r="73" spans="1:22" x14ac:dyDescent="0.45">
      <c r="A73">
        <v>80</v>
      </c>
      <c r="B73" t="s">
        <v>219</v>
      </c>
      <c r="E73" t="s">
        <v>40</v>
      </c>
      <c r="F73" t="s">
        <v>220</v>
      </c>
      <c r="G73">
        <v>4</v>
      </c>
      <c r="H73">
        <v>4</v>
      </c>
      <c r="I73" t="s">
        <v>976</v>
      </c>
      <c r="J73" t="b">
        <v>1</v>
      </c>
      <c r="K73" t="b">
        <v>0</v>
      </c>
      <c r="L73" t="b">
        <v>1</v>
      </c>
      <c r="N73" t="s">
        <v>866</v>
      </c>
      <c r="O73">
        <v>6</v>
      </c>
      <c r="P73">
        <v>2</v>
      </c>
      <c r="Q73" t="s">
        <v>848</v>
      </c>
      <c r="R73" t="s">
        <v>865</v>
      </c>
      <c r="S73">
        <v>2</v>
      </c>
      <c r="T73" t="s">
        <v>1178</v>
      </c>
      <c r="U73" s="18"/>
      <c r="V73" t="b">
        <f>IF(AND(Table_Trailer_Restock_JSON[[#This Row],[Is Geo Trailer Stock]]=FALSE,Table_Trailer_Restock_JSON[[#This Row],[Is Geo Case Stock]]=FALSE),FALSE,TRUE)</f>
        <v>1</v>
      </c>
    </row>
    <row r="74" spans="1:22" x14ac:dyDescent="0.45">
      <c r="A74">
        <v>81</v>
      </c>
      <c r="B74" t="s">
        <v>221</v>
      </c>
      <c r="E74" t="s">
        <v>40</v>
      </c>
      <c r="F74" t="s">
        <v>222</v>
      </c>
      <c r="G74">
        <v>4</v>
      </c>
      <c r="H74">
        <v>4</v>
      </c>
      <c r="I74" t="s">
        <v>977</v>
      </c>
      <c r="J74" t="b">
        <v>1</v>
      </c>
      <c r="K74" t="b">
        <v>0</v>
      </c>
      <c r="L74" t="b">
        <v>1</v>
      </c>
      <c r="N74" t="s">
        <v>866</v>
      </c>
      <c r="O74">
        <v>6</v>
      </c>
      <c r="P74">
        <v>2</v>
      </c>
      <c r="Q74" t="s">
        <v>848</v>
      </c>
      <c r="R74" t="s">
        <v>865</v>
      </c>
      <c r="S74">
        <v>3</v>
      </c>
      <c r="T74" t="s">
        <v>1178</v>
      </c>
      <c r="U74" s="18"/>
      <c r="V74" t="b">
        <f>IF(AND(Table_Trailer_Restock_JSON[[#This Row],[Is Geo Trailer Stock]]=FALSE,Table_Trailer_Restock_JSON[[#This Row],[Is Geo Case Stock]]=FALSE),FALSE,TRUE)</f>
        <v>1</v>
      </c>
    </row>
    <row r="75" spans="1:22" x14ac:dyDescent="0.45">
      <c r="A75">
        <v>82</v>
      </c>
      <c r="B75" t="s">
        <v>223</v>
      </c>
      <c r="E75" t="s">
        <v>40</v>
      </c>
      <c r="F75" t="s">
        <v>224</v>
      </c>
      <c r="G75">
        <v>10</v>
      </c>
      <c r="H75">
        <v>10</v>
      </c>
      <c r="I75" t="s">
        <v>978</v>
      </c>
      <c r="J75" t="b">
        <v>1</v>
      </c>
      <c r="K75" t="b">
        <v>0</v>
      </c>
      <c r="L75" t="b">
        <v>1</v>
      </c>
      <c r="N75" t="s">
        <v>866</v>
      </c>
      <c r="O75">
        <v>6</v>
      </c>
      <c r="P75">
        <v>2</v>
      </c>
      <c r="Q75" t="s">
        <v>848</v>
      </c>
      <c r="R75" t="s">
        <v>865</v>
      </c>
      <c r="S75">
        <v>4</v>
      </c>
      <c r="T75" t="s">
        <v>1178</v>
      </c>
      <c r="U75" s="18"/>
      <c r="V75" t="b">
        <f>IF(AND(Table_Trailer_Restock_JSON[[#This Row],[Is Geo Trailer Stock]]=FALSE,Table_Trailer_Restock_JSON[[#This Row],[Is Geo Case Stock]]=FALSE),FALSE,TRUE)</f>
        <v>1</v>
      </c>
    </row>
    <row r="76" spans="1:22" x14ac:dyDescent="0.45">
      <c r="A76">
        <v>83</v>
      </c>
      <c r="B76" t="s">
        <v>225</v>
      </c>
      <c r="E76" t="s">
        <v>40</v>
      </c>
      <c r="F76" t="s">
        <v>226</v>
      </c>
      <c r="G76">
        <v>10</v>
      </c>
      <c r="H76">
        <v>10</v>
      </c>
      <c r="I76" t="s">
        <v>979</v>
      </c>
      <c r="J76" t="b">
        <v>1</v>
      </c>
      <c r="K76" t="b">
        <v>0</v>
      </c>
      <c r="L76" t="b">
        <v>1</v>
      </c>
      <c r="N76" t="s">
        <v>866</v>
      </c>
      <c r="O76">
        <v>8</v>
      </c>
      <c r="P76">
        <v>2</v>
      </c>
      <c r="Q76" t="s">
        <v>848</v>
      </c>
      <c r="R76" t="s">
        <v>865</v>
      </c>
      <c r="S76">
        <v>5</v>
      </c>
      <c r="T76" t="s">
        <v>1178</v>
      </c>
      <c r="U76" s="18"/>
      <c r="V76" t="b">
        <f>IF(AND(Table_Trailer_Restock_JSON[[#This Row],[Is Geo Trailer Stock]]=FALSE,Table_Trailer_Restock_JSON[[#This Row],[Is Geo Case Stock]]=FALSE),FALSE,TRUE)</f>
        <v>1</v>
      </c>
    </row>
    <row r="77" spans="1:22" x14ac:dyDescent="0.45">
      <c r="A77">
        <v>84</v>
      </c>
      <c r="B77" t="s">
        <v>227</v>
      </c>
      <c r="E77" t="s">
        <v>40</v>
      </c>
      <c r="F77" t="s">
        <v>228</v>
      </c>
      <c r="G77">
        <v>10</v>
      </c>
      <c r="H77">
        <v>10</v>
      </c>
      <c r="I77" t="s">
        <v>980</v>
      </c>
      <c r="J77" t="b">
        <v>1</v>
      </c>
      <c r="K77" t="b">
        <v>0</v>
      </c>
      <c r="L77" t="b">
        <v>1</v>
      </c>
      <c r="N77" t="s">
        <v>866</v>
      </c>
      <c r="O77">
        <v>8</v>
      </c>
      <c r="P77">
        <v>2</v>
      </c>
      <c r="Q77" t="s">
        <v>848</v>
      </c>
      <c r="R77" t="s">
        <v>865</v>
      </c>
      <c r="S77">
        <v>6</v>
      </c>
      <c r="T77" t="s">
        <v>1178</v>
      </c>
      <c r="U77" s="18"/>
      <c r="V77" t="b">
        <f>IF(AND(Table_Trailer_Restock_JSON[[#This Row],[Is Geo Trailer Stock]]=FALSE,Table_Trailer_Restock_JSON[[#This Row],[Is Geo Case Stock]]=FALSE),FALSE,TRUE)</f>
        <v>1</v>
      </c>
    </row>
    <row r="78" spans="1:22" x14ac:dyDescent="0.45">
      <c r="A78">
        <v>85</v>
      </c>
      <c r="B78" t="s">
        <v>229</v>
      </c>
      <c r="E78" t="s">
        <v>40</v>
      </c>
      <c r="F78" t="s">
        <v>230</v>
      </c>
      <c r="G78">
        <v>6</v>
      </c>
      <c r="H78">
        <v>6</v>
      </c>
      <c r="I78" t="s">
        <v>981</v>
      </c>
      <c r="J78" t="b">
        <v>1</v>
      </c>
      <c r="K78" t="b">
        <v>0</v>
      </c>
      <c r="L78" t="b">
        <v>1</v>
      </c>
      <c r="N78" t="s">
        <v>866</v>
      </c>
      <c r="O78">
        <v>4</v>
      </c>
      <c r="P78">
        <v>2</v>
      </c>
      <c r="Q78" t="s">
        <v>848</v>
      </c>
      <c r="R78" t="s">
        <v>865</v>
      </c>
      <c r="S78">
        <v>7</v>
      </c>
      <c r="T78" t="s">
        <v>1178</v>
      </c>
      <c r="U78" s="18"/>
      <c r="V78" t="b">
        <f>IF(AND(Table_Trailer_Restock_JSON[[#This Row],[Is Geo Trailer Stock]]=FALSE,Table_Trailer_Restock_JSON[[#This Row],[Is Geo Case Stock]]=FALSE),FALSE,TRUE)</f>
        <v>1</v>
      </c>
    </row>
    <row r="79" spans="1:22" x14ac:dyDescent="0.45">
      <c r="A79">
        <v>86</v>
      </c>
      <c r="B79" t="s">
        <v>231</v>
      </c>
      <c r="E79" t="s">
        <v>40</v>
      </c>
      <c r="F79" t="s">
        <v>232</v>
      </c>
      <c r="G79">
        <v>10</v>
      </c>
      <c r="H79">
        <v>4</v>
      </c>
      <c r="I79" t="s">
        <v>982</v>
      </c>
      <c r="J79" t="b">
        <v>1</v>
      </c>
      <c r="K79" t="b">
        <v>0</v>
      </c>
      <c r="L79" t="b">
        <v>1</v>
      </c>
      <c r="N79" t="s">
        <v>866</v>
      </c>
      <c r="O79">
        <v>10</v>
      </c>
      <c r="P79">
        <v>2</v>
      </c>
      <c r="Q79" t="s">
        <v>848</v>
      </c>
      <c r="R79" t="s">
        <v>865</v>
      </c>
      <c r="S79">
        <v>8</v>
      </c>
      <c r="T79" t="s">
        <v>1178</v>
      </c>
      <c r="U79" s="18"/>
      <c r="V79" t="b">
        <f>IF(AND(Table_Trailer_Restock_JSON[[#This Row],[Is Geo Trailer Stock]]=FALSE,Table_Trailer_Restock_JSON[[#This Row],[Is Geo Case Stock]]=FALSE),FALSE,TRUE)</f>
        <v>1</v>
      </c>
    </row>
    <row r="80" spans="1:22" x14ac:dyDescent="0.45">
      <c r="A80">
        <v>87</v>
      </c>
      <c r="B80" t="s">
        <v>233</v>
      </c>
      <c r="E80" t="s">
        <v>29</v>
      </c>
      <c r="F80">
        <v>1002217597</v>
      </c>
      <c r="G80">
        <v>6</v>
      </c>
      <c r="H80">
        <v>6</v>
      </c>
      <c r="I80" t="s">
        <v>983</v>
      </c>
      <c r="J80" t="b">
        <v>1</v>
      </c>
      <c r="K80" t="b">
        <v>0</v>
      </c>
      <c r="L80" t="b">
        <v>1</v>
      </c>
      <c r="N80" t="s">
        <v>866</v>
      </c>
      <c r="O80">
        <v>2</v>
      </c>
      <c r="P80">
        <v>1</v>
      </c>
      <c r="Q80" t="s">
        <v>848</v>
      </c>
      <c r="R80" t="s">
        <v>865</v>
      </c>
      <c r="S80">
        <v>9</v>
      </c>
      <c r="T80" t="s">
        <v>1178</v>
      </c>
      <c r="U80" s="18"/>
      <c r="V80" t="b">
        <f>IF(AND(Table_Trailer_Restock_JSON[[#This Row],[Is Geo Trailer Stock]]=FALSE,Table_Trailer_Restock_JSON[[#This Row],[Is Geo Case Stock]]=FALSE),FALSE,TRUE)</f>
        <v>1</v>
      </c>
    </row>
    <row r="81" spans="1:22" x14ac:dyDescent="0.45">
      <c r="A81">
        <v>88</v>
      </c>
      <c r="B81" t="s">
        <v>234</v>
      </c>
      <c r="E81" t="s">
        <v>40</v>
      </c>
      <c r="F81" t="s">
        <v>235</v>
      </c>
      <c r="G81">
        <v>2</v>
      </c>
      <c r="H81">
        <v>2</v>
      </c>
      <c r="I81" t="s">
        <v>984</v>
      </c>
      <c r="J81" t="b">
        <v>1</v>
      </c>
      <c r="K81" t="b">
        <v>0</v>
      </c>
      <c r="L81" t="b">
        <v>1</v>
      </c>
      <c r="N81" t="s">
        <v>866</v>
      </c>
      <c r="O81">
        <v>4</v>
      </c>
      <c r="P81">
        <v>1</v>
      </c>
      <c r="Q81" t="s">
        <v>848</v>
      </c>
      <c r="R81" t="s">
        <v>865</v>
      </c>
      <c r="S81">
        <v>10</v>
      </c>
      <c r="T81" t="s">
        <v>1178</v>
      </c>
      <c r="U81" s="18"/>
      <c r="V81" t="b">
        <f>IF(AND(Table_Trailer_Restock_JSON[[#This Row],[Is Geo Trailer Stock]]=FALSE,Table_Trailer_Restock_JSON[[#This Row],[Is Geo Case Stock]]=FALSE),FALSE,TRUE)</f>
        <v>1</v>
      </c>
    </row>
    <row r="82" spans="1:22" x14ac:dyDescent="0.45">
      <c r="A82">
        <v>89</v>
      </c>
      <c r="B82" t="s">
        <v>236</v>
      </c>
      <c r="E82" t="s">
        <v>40</v>
      </c>
      <c r="F82" t="s">
        <v>237</v>
      </c>
      <c r="G82">
        <v>2</v>
      </c>
      <c r="H82">
        <v>2</v>
      </c>
      <c r="I82" t="s">
        <v>985</v>
      </c>
      <c r="J82" t="b">
        <v>1</v>
      </c>
      <c r="K82" t="b">
        <v>0</v>
      </c>
      <c r="L82" t="b">
        <v>1</v>
      </c>
      <c r="N82" t="s">
        <v>866</v>
      </c>
      <c r="O82">
        <v>2</v>
      </c>
      <c r="P82">
        <v>1</v>
      </c>
      <c r="Q82" t="s">
        <v>848</v>
      </c>
      <c r="R82" t="s">
        <v>865</v>
      </c>
      <c r="S82">
        <v>11</v>
      </c>
      <c r="T82" t="s">
        <v>1178</v>
      </c>
      <c r="U82" s="18"/>
      <c r="V82" t="b">
        <f>IF(AND(Table_Trailer_Restock_JSON[[#This Row],[Is Geo Trailer Stock]]=FALSE,Table_Trailer_Restock_JSON[[#This Row],[Is Geo Case Stock]]=FALSE),FALSE,TRUE)</f>
        <v>1</v>
      </c>
    </row>
    <row r="83" spans="1:22" x14ac:dyDescent="0.45">
      <c r="A83">
        <v>71</v>
      </c>
      <c r="B83" t="s">
        <v>200</v>
      </c>
      <c r="E83" t="s">
        <v>29</v>
      </c>
      <c r="F83">
        <v>536555</v>
      </c>
      <c r="G83">
        <v>3</v>
      </c>
      <c r="H83">
        <v>1</v>
      </c>
      <c r="I83" t="s">
        <v>967</v>
      </c>
      <c r="J83" t="b">
        <v>1</v>
      </c>
      <c r="K83" t="b">
        <v>0</v>
      </c>
      <c r="L83" t="b">
        <v>1</v>
      </c>
      <c r="N83" t="s">
        <v>872</v>
      </c>
      <c r="O83">
        <v>2</v>
      </c>
      <c r="Q83" t="s">
        <v>848</v>
      </c>
      <c r="R83" t="s">
        <v>871</v>
      </c>
      <c r="S83">
        <v>1</v>
      </c>
      <c r="T83" t="s">
        <v>1179</v>
      </c>
      <c r="U83" s="18"/>
      <c r="V83" t="b">
        <f>IF(AND(Table_Trailer_Restock_JSON[[#This Row],[Is Geo Trailer Stock]]=FALSE,Table_Trailer_Restock_JSON[[#This Row],[Is Geo Case Stock]]=FALSE),FALSE,TRUE)</f>
        <v>1</v>
      </c>
    </row>
    <row r="84" spans="1:22" x14ac:dyDescent="0.45">
      <c r="A84">
        <v>72</v>
      </c>
      <c r="B84" t="s">
        <v>202</v>
      </c>
      <c r="E84" t="s">
        <v>40</v>
      </c>
      <c r="F84" t="s">
        <v>203</v>
      </c>
      <c r="G84">
        <v>3</v>
      </c>
      <c r="H84">
        <v>3</v>
      </c>
      <c r="I84" t="s">
        <v>968</v>
      </c>
      <c r="J84" t="b">
        <v>1</v>
      </c>
      <c r="K84" t="b">
        <v>0</v>
      </c>
      <c r="L84" t="b">
        <v>1</v>
      </c>
      <c r="N84" t="s">
        <v>872</v>
      </c>
      <c r="O84">
        <v>2</v>
      </c>
      <c r="Q84" t="s">
        <v>848</v>
      </c>
      <c r="R84" t="s">
        <v>871</v>
      </c>
      <c r="S84">
        <v>2</v>
      </c>
      <c r="T84" t="s">
        <v>1179</v>
      </c>
      <c r="U84" s="18"/>
      <c r="V84" t="b">
        <f>IF(AND(Table_Trailer_Restock_JSON[[#This Row],[Is Geo Trailer Stock]]=FALSE,Table_Trailer_Restock_JSON[[#This Row],[Is Geo Case Stock]]=FALSE),FALSE,TRUE)</f>
        <v>1</v>
      </c>
    </row>
    <row r="85" spans="1:22" x14ac:dyDescent="0.45">
      <c r="A85">
        <v>73</v>
      </c>
      <c r="B85" t="s">
        <v>204</v>
      </c>
      <c r="E85" t="s">
        <v>40</v>
      </c>
      <c r="F85" t="s">
        <v>205</v>
      </c>
      <c r="G85">
        <v>3</v>
      </c>
      <c r="H85">
        <v>3</v>
      </c>
      <c r="I85" t="s">
        <v>969</v>
      </c>
      <c r="J85" t="b">
        <v>1</v>
      </c>
      <c r="K85" t="b">
        <v>0</v>
      </c>
      <c r="L85" t="b">
        <v>1</v>
      </c>
      <c r="N85" t="s">
        <v>872</v>
      </c>
      <c r="O85">
        <v>2</v>
      </c>
      <c r="Q85" t="s">
        <v>848</v>
      </c>
      <c r="R85" t="s">
        <v>871</v>
      </c>
      <c r="S85">
        <v>3</v>
      </c>
      <c r="T85" t="s">
        <v>1179</v>
      </c>
      <c r="U85" s="18"/>
      <c r="V85" t="b">
        <f>IF(AND(Table_Trailer_Restock_JSON[[#This Row],[Is Geo Trailer Stock]]=FALSE,Table_Trailer_Restock_JSON[[#This Row],[Is Geo Case Stock]]=FALSE),FALSE,TRUE)</f>
        <v>1</v>
      </c>
    </row>
    <row r="86" spans="1:22" x14ac:dyDescent="0.45">
      <c r="A86">
        <v>74</v>
      </c>
      <c r="B86" t="s">
        <v>206</v>
      </c>
      <c r="E86" t="s">
        <v>40</v>
      </c>
      <c r="F86" t="s">
        <v>207</v>
      </c>
      <c r="G86">
        <v>4</v>
      </c>
      <c r="H86">
        <v>4</v>
      </c>
      <c r="I86" t="s">
        <v>970</v>
      </c>
      <c r="J86" t="b">
        <v>1</v>
      </c>
      <c r="K86" t="b">
        <v>0</v>
      </c>
      <c r="L86" t="b">
        <v>1</v>
      </c>
      <c r="N86" t="s">
        <v>872</v>
      </c>
      <c r="O86">
        <v>6</v>
      </c>
      <c r="P86">
        <v>2</v>
      </c>
      <c r="Q86" t="s">
        <v>848</v>
      </c>
      <c r="R86" t="s">
        <v>871</v>
      </c>
      <c r="S86">
        <v>4</v>
      </c>
      <c r="T86" t="s">
        <v>1179</v>
      </c>
      <c r="U86" s="18"/>
      <c r="V86" t="b">
        <f>IF(AND(Table_Trailer_Restock_JSON[[#This Row],[Is Geo Trailer Stock]]=FALSE,Table_Trailer_Restock_JSON[[#This Row],[Is Geo Case Stock]]=FALSE),FALSE,TRUE)</f>
        <v>1</v>
      </c>
    </row>
    <row r="87" spans="1:22" x14ac:dyDescent="0.45">
      <c r="A87">
        <v>75</v>
      </c>
      <c r="B87" t="s">
        <v>208</v>
      </c>
      <c r="E87" t="s">
        <v>40</v>
      </c>
      <c r="F87" t="s">
        <v>209</v>
      </c>
      <c r="G87">
        <v>4</v>
      </c>
      <c r="H87">
        <v>4</v>
      </c>
      <c r="I87" t="s">
        <v>971</v>
      </c>
      <c r="J87" t="b">
        <v>1</v>
      </c>
      <c r="K87" t="b">
        <v>0</v>
      </c>
      <c r="L87" t="b">
        <v>1</v>
      </c>
      <c r="N87" t="s">
        <v>872</v>
      </c>
      <c r="O87">
        <v>6</v>
      </c>
      <c r="P87">
        <v>2</v>
      </c>
      <c r="Q87" t="s">
        <v>848</v>
      </c>
      <c r="R87" t="s">
        <v>871</v>
      </c>
      <c r="S87">
        <v>5</v>
      </c>
      <c r="T87" t="s">
        <v>1179</v>
      </c>
      <c r="U87" s="18"/>
      <c r="V87" t="b">
        <f>IF(AND(Table_Trailer_Restock_JSON[[#This Row],[Is Geo Trailer Stock]]=FALSE,Table_Trailer_Restock_JSON[[#This Row],[Is Geo Case Stock]]=FALSE),FALSE,TRUE)</f>
        <v>1</v>
      </c>
    </row>
    <row r="88" spans="1:22" x14ac:dyDescent="0.45">
      <c r="A88">
        <v>76</v>
      </c>
      <c r="B88" t="s">
        <v>210</v>
      </c>
      <c r="E88" t="s">
        <v>40</v>
      </c>
      <c r="F88" t="s">
        <v>211</v>
      </c>
      <c r="G88">
        <v>4</v>
      </c>
      <c r="H88">
        <v>4</v>
      </c>
      <c r="I88" t="s">
        <v>972</v>
      </c>
      <c r="J88" t="b">
        <v>1</v>
      </c>
      <c r="K88" t="b">
        <v>0</v>
      </c>
      <c r="L88" t="b">
        <v>1</v>
      </c>
      <c r="N88" t="s">
        <v>872</v>
      </c>
      <c r="O88">
        <v>2</v>
      </c>
      <c r="Q88" t="s">
        <v>848</v>
      </c>
      <c r="R88" t="s">
        <v>871</v>
      </c>
      <c r="S88">
        <v>6</v>
      </c>
      <c r="T88" t="s">
        <v>1179</v>
      </c>
      <c r="U88" s="18"/>
      <c r="V88" t="b">
        <f>IF(AND(Table_Trailer_Restock_JSON[[#This Row],[Is Geo Trailer Stock]]=FALSE,Table_Trailer_Restock_JSON[[#This Row],[Is Geo Case Stock]]=FALSE),FALSE,TRUE)</f>
        <v>1</v>
      </c>
    </row>
    <row r="89" spans="1:22" x14ac:dyDescent="0.45">
      <c r="A89">
        <v>77</v>
      </c>
      <c r="B89" t="s">
        <v>212</v>
      </c>
      <c r="E89" t="s">
        <v>40</v>
      </c>
      <c r="F89" t="s">
        <v>213</v>
      </c>
      <c r="G89">
        <v>4</v>
      </c>
      <c r="H89">
        <v>2</v>
      </c>
      <c r="I89" t="s">
        <v>973</v>
      </c>
      <c r="J89" t="b">
        <v>1</v>
      </c>
      <c r="K89" t="b">
        <v>0</v>
      </c>
      <c r="L89" t="b">
        <v>1</v>
      </c>
      <c r="N89" t="s">
        <v>872</v>
      </c>
      <c r="O89">
        <v>2</v>
      </c>
      <c r="Q89" t="s">
        <v>848</v>
      </c>
      <c r="R89" t="s">
        <v>871</v>
      </c>
      <c r="S89">
        <v>7</v>
      </c>
      <c r="T89" t="s">
        <v>1179</v>
      </c>
      <c r="U89" s="18"/>
      <c r="V89" t="b">
        <f>IF(AND(Table_Trailer_Restock_JSON[[#This Row],[Is Geo Trailer Stock]]=FALSE,Table_Trailer_Restock_JSON[[#This Row],[Is Geo Case Stock]]=FALSE),FALSE,TRUE)</f>
        <v>1</v>
      </c>
    </row>
    <row r="90" spans="1:22" x14ac:dyDescent="0.45">
      <c r="A90">
        <v>78</v>
      </c>
      <c r="B90" t="s">
        <v>214</v>
      </c>
      <c r="E90" t="s">
        <v>40</v>
      </c>
      <c r="F90">
        <v>24985</v>
      </c>
      <c r="G90">
        <v>6</v>
      </c>
      <c r="H90">
        <v>4</v>
      </c>
      <c r="I90" t="s">
        <v>974</v>
      </c>
      <c r="J90" t="b">
        <v>1</v>
      </c>
      <c r="K90" t="b">
        <v>0</v>
      </c>
      <c r="L90" t="b">
        <v>1</v>
      </c>
      <c r="N90" t="s">
        <v>872</v>
      </c>
      <c r="O90">
        <v>3</v>
      </c>
      <c r="P90">
        <v>1</v>
      </c>
      <c r="Q90" t="s">
        <v>848</v>
      </c>
      <c r="R90" t="s">
        <v>871</v>
      </c>
      <c r="S90">
        <v>8</v>
      </c>
      <c r="T90" t="s">
        <v>1179</v>
      </c>
      <c r="U90" s="18"/>
      <c r="V90" t="b">
        <f>IF(AND(Table_Trailer_Restock_JSON[[#This Row],[Is Geo Trailer Stock]]=FALSE,Table_Trailer_Restock_JSON[[#This Row],[Is Geo Case Stock]]=FALSE),FALSE,TRUE)</f>
        <v>1</v>
      </c>
    </row>
    <row r="91" spans="1:22" x14ac:dyDescent="0.45">
      <c r="A91">
        <v>62</v>
      </c>
      <c r="B91" t="s">
        <v>182</v>
      </c>
      <c r="E91" t="s">
        <v>40</v>
      </c>
      <c r="F91" t="s">
        <v>184</v>
      </c>
      <c r="G91">
        <v>30</v>
      </c>
      <c r="H91">
        <v>10</v>
      </c>
      <c r="I91" t="s">
        <v>958</v>
      </c>
      <c r="J91" t="b">
        <v>1</v>
      </c>
      <c r="K91" t="b">
        <v>0</v>
      </c>
      <c r="L91" t="b">
        <v>1</v>
      </c>
      <c r="N91" t="s">
        <v>875</v>
      </c>
      <c r="O91">
        <v>16</v>
      </c>
      <c r="P91">
        <v>8</v>
      </c>
      <c r="Q91" t="s">
        <v>848</v>
      </c>
      <c r="R91" t="s">
        <v>874</v>
      </c>
      <c r="S91">
        <v>1</v>
      </c>
      <c r="T91" t="s">
        <v>1180</v>
      </c>
      <c r="U91" s="18"/>
      <c r="V91" t="b">
        <f>IF(AND(Table_Trailer_Restock_JSON[[#This Row],[Is Geo Trailer Stock]]=FALSE,Table_Trailer_Restock_JSON[[#This Row],[Is Geo Case Stock]]=FALSE),FALSE,TRUE)</f>
        <v>1</v>
      </c>
    </row>
    <row r="92" spans="1:22" x14ac:dyDescent="0.45">
      <c r="A92">
        <v>63</v>
      </c>
      <c r="B92" t="s">
        <v>185</v>
      </c>
      <c r="E92" t="s">
        <v>40</v>
      </c>
      <c r="F92" t="s">
        <v>186</v>
      </c>
      <c r="G92">
        <v>10</v>
      </c>
      <c r="H92">
        <v>4</v>
      </c>
      <c r="I92" t="s">
        <v>959</v>
      </c>
      <c r="J92" t="b">
        <v>1</v>
      </c>
      <c r="K92" t="b">
        <v>0</v>
      </c>
      <c r="L92" t="b">
        <v>1</v>
      </c>
      <c r="N92" t="s">
        <v>875</v>
      </c>
      <c r="O92">
        <v>4</v>
      </c>
      <c r="P92">
        <v>2</v>
      </c>
      <c r="Q92" t="s">
        <v>848</v>
      </c>
      <c r="R92" t="s">
        <v>874</v>
      </c>
      <c r="S92">
        <v>2</v>
      </c>
      <c r="T92" t="s">
        <v>1180</v>
      </c>
      <c r="U92" s="18"/>
      <c r="V92" t="b">
        <f>IF(AND(Table_Trailer_Restock_JSON[[#This Row],[Is Geo Trailer Stock]]=FALSE,Table_Trailer_Restock_JSON[[#This Row],[Is Geo Case Stock]]=FALSE),FALSE,TRUE)</f>
        <v>1</v>
      </c>
    </row>
    <row r="93" spans="1:22" x14ac:dyDescent="0.45">
      <c r="A93">
        <v>64</v>
      </c>
      <c r="B93" t="s">
        <v>187</v>
      </c>
      <c r="E93" t="s">
        <v>40</v>
      </c>
      <c r="F93">
        <v>50170</v>
      </c>
      <c r="G93">
        <v>10</v>
      </c>
      <c r="H93">
        <v>4</v>
      </c>
      <c r="I93" t="s">
        <v>960</v>
      </c>
      <c r="J93" t="b">
        <v>1</v>
      </c>
      <c r="K93" t="b">
        <v>0</v>
      </c>
      <c r="L93" t="b">
        <v>1</v>
      </c>
      <c r="N93" t="s">
        <v>875</v>
      </c>
      <c r="O93">
        <v>8</v>
      </c>
      <c r="P93">
        <v>4</v>
      </c>
      <c r="Q93" t="s">
        <v>848</v>
      </c>
      <c r="R93" t="s">
        <v>874</v>
      </c>
      <c r="S93">
        <v>3</v>
      </c>
      <c r="T93" t="s">
        <v>1180</v>
      </c>
      <c r="U93" s="18"/>
      <c r="V93" t="b">
        <f>IF(AND(Table_Trailer_Restock_JSON[[#This Row],[Is Geo Trailer Stock]]=FALSE,Table_Trailer_Restock_JSON[[#This Row],[Is Geo Case Stock]]=FALSE),FALSE,TRUE)</f>
        <v>1</v>
      </c>
    </row>
    <row r="94" spans="1:22" x14ac:dyDescent="0.45">
      <c r="A94">
        <v>65</v>
      </c>
      <c r="B94" t="s">
        <v>188</v>
      </c>
      <c r="E94" t="s">
        <v>40</v>
      </c>
      <c r="F94">
        <v>50024</v>
      </c>
      <c r="G94">
        <v>4</v>
      </c>
      <c r="H94">
        <v>4</v>
      </c>
      <c r="I94" t="s">
        <v>961</v>
      </c>
      <c r="J94" t="b">
        <v>1</v>
      </c>
      <c r="K94" t="b">
        <v>0</v>
      </c>
      <c r="L94" t="b">
        <v>1</v>
      </c>
      <c r="N94" t="s">
        <v>875</v>
      </c>
      <c r="O94">
        <v>2</v>
      </c>
      <c r="P94">
        <v>2</v>
      </c>
      <c r="Q94" t="s">
        <v>848</v>
      </c>
      <c r="R94" t="s">
        <v>874</v>
      </c>
      <c r="S94">
        <v>4</v>
      </c>
      <c r="T94" t="s">
        <v>1180</v>
      </c>
      <c r="U94" s="18"/>
      <c r="V94" t="b">
        <f>IF(AND(Table_Trailer_Restock_JSON[[#This Row],[Is Geo Trailer Stock]]=FALSE,Table_Trailer_Restock_JSON[[#This Row],[Is Geo Case Stock]]=FALSE),FALSE,TRUE)</f>
        <v>1</v>
      </c>
    </row>
    <row r="95" spans="1:22" x14ac:dyDescent="0.45">
      <c r="A95">
        <v>66</v>
      </c>
      <c r="B95" t="s">
        <v>189</v>
      </c>
      <c r="E95" t="s">
        <v>40</v>
      </c>
      <c r="F95" t="s">
        <v>190</v>
      </c>
      <c r="G95">
        <v>10</v>
      </c>
      <c r="H95">
        <v>10</v>
      </c>
      <c r="I95" t="s">
        <v>962</v>
      </c>
      <c r="J95" t="b">
        <v>1</v>
      </c>
      <c r="K95" t="b">
        <v>0</v>
      </c>
      <c r="L95" t="b">
        <v>1</v>
      </c>
      <c r="N95" t="s">
        <v>875</v>
      </c>
      <c r="O95">
        <v>6</v>
      </c>
      <c r="P95">
        <v>2</v>
      </c>
      <c r="Q95" t="s">
        <v>848</v>
      </c>
      <c r="R95" t="s">
        <v>874</v>
      </c>
      <c r="S95">
        <v>5</v>
      </c>
      <c r="T95" t="s">
        <v>1180</v>
      </c>
      <c r="U95" s="18"/>
      <c r="V95" t="b">
        <f>IF(AND(Table_Trailer_Restock_JSON[[#This Row],[Is Geo Trailer Stock]]=FALSE,Table_Trailer_Restock_JSON[[#This Row],[Is Geo Case Stock]]=FALSE),FALSE,TRUE)</f>
        <v>1</v>
      </c>
    </row>
    <row r="96" spans="1:22" x14ac:dyDescent="0.45">
      <c r="A96">
        <v>67</v>
      </c>
      <c r="B96" t="s">
        <v>191</v>
      </c>
      <c r="E96" t="s">
        <v>40</v>
      </c>
      <c r="F96" t="s">
        <v>193</v>
      </c>
      <c r="G96">
        <v>4</v>
      </c>
      <c r="H96">
        <v>2</v>
      </c>
      <c r="I96" t="s">
        <v>963</v>
      </c>
      <c r="J96" t="b">
        <v>1</v>
      </c>
      <c r="K96" t="b">
        <v>0</v>
      </c>
      <c r="L96" t="b">
        <v>1</v>
      </c>
      <c r="N96" t="s">
        <v>875</v>
      </c>
      <c r="O96">
        <v>1</v>
      </c>
      <c r="Q96" t="s">
        <v>848</v>
      </c>
      <c r="R96" t="s">
        <v>874</v>
      </c>
      <c r="S96">
        <v>6</v>
      </c>
      <c r="T96" t="s">
        <v>1180</v>
      </c>
      <c r="U96" s="18"/>
      <c r="V96" t="b">
        <f>IF(AND(Table_Trailer_Restock_JSON[[#This Row],[Is Geo Trailer Stock]]=FALSE,Table_Trailer_Restock_JSON[[#This Row],[Is Geo Case Stock]]=FALSE),FALSE,TRUE)</f>
        <v>1</v>
      </c>
    </row>
    <row r="97" spans="1:22" x14ac:dyDescent="0.45">
      <c r="A97">
        <v>68</v>
      </c>
      <c r="B97" t="s">
        <v>194</v>
      </c>
      <c r="E97" t="s">
        <v>40</v>
      </c>
      <c r="F97" t="s">
        <v>195</v>
      </c>
      <c r="G97">
        <v>4</v>
      </c>
      <c r="H97">
        <v>2</v>
      </c>
      <c r="I97" t="s">
        <v>964</v>
      </c>
      <c r="J97" t="b">
        <v>1</v>
      </c>
      <c r="K97" t="b">
        <v>0</v>
      </c>
      <c r="L97" t="b">
        <v>1</v>
      </c>
      <c r="N97" t="s">
        <v>875</v>
      </c>
      <c r="O97">
        <v>1</v>
      </c>
      <c r="Q97" t="s">
        <v>848</v>
      </c>
      <c r="R97" t="s">
        <v>874</v>
      </c>
      <c r="S97">
        <v>7</v>
      </c>
      <c r="T97" t="s">
        <v>1180</v>
      </c>
      <c r="U97" s="18"/>
      <c r="V97" t="b">
        <f>IF(AND(Table_Trailer_Restock_JSON[[#This Row],[Is Geo Trailer Stock]]=FALSE,Table_Trailer_Restock_JSON[[#This Row],[Is Geo Case Stock]]=FALSE),FALSE,TRUE)</f>
        <v>1</v>
      </c>
    </row>
    <row r="98" spans="1:22" x14ac:dyDescent="0.45">
      <c r="A98">
        <v>69</v>
      </c>
      <c r="B98" t="s">
        <v>196</v>
      </c>
      <c r="E98" t="s">
        <v>40</v>
      </c>
      <c r="F98" t="s">
        <v>197</v>
      </c>
      <c r="G98">
        <v>4</v>
      </c>
      <c r="H98">
        <v>2</v>
      </c>
      <c r="I98" t="s">
        <v>965</v>
      </c>
      <c r="J98" t="b">
        <v>1</v>
      </c>
      <c r="K98" t="b">
        <v>0</v>
      </c>
      <c r="L98" t="b">
        <v>1</v>
      </c>
      <c r="N98" t="s">
        <v>875</v>
      </c>
      <c r="O98">
        <v>1</v>
      </c>
      <c r="Q98" t="s">
        <v>848</v>
      </c>
      <c r="R98" t="s">
        <v>874</v>
      </c>
      <c r="S98">
        <v>8</v>
      </c>
      <c r="T98" t="s">
        <v>1180</v>
      </c>
      <c r="U98" s="18"/>
      <c r="V98" t="b">
        <f>IF(AND(Table_Trailer_Restock_JSON[[#This Row],[Is Geo Trailer Stock]]=FALSE,Table_Trailer_Restock_JSON[[#This Row],[Is Geo Case Stock]]=FALSE),FALSE,TRUE)</f>
        <v>1</v>
      </c>
    </row>
    <row r="99" spans="1:22" x14ac:dyDescent="0.45">
      <c r="A99">
        <v>70</v>
      </c>
      <c r="B99" t="s">
        <v>198</v>
      </c>
      <c r="E99" t="s">
        <v>40</v>
      </c>
      <c r="F99" t="s">
        <v>199</v>
      </c>
      <c r="G99">
        <v>4</v>
      </c>
      <c r="H99">
        <v>2</v>
      </c>
      <c r="I99" t="s">
        <v>966</v>
      </c>
      <c r="J99" t="b">
        <v>1</v>
      </c>
      <c r="K99" t="b">
        <v>0</v>
      </c>
      <c r="L99" t="b">
        <v>1</v>
      </c>
      <c r="N99" t="s">
        <v>875</v>
      </c>
      <c r="O99">
        <v>1</v>
      </c>
      <c r="Q99" t="s">
        <v>848</v>
      </c>
      <c r="R99" t="s">
        <v>874</v>
      </c>
      <c r="S99">
        <v>9</v>
      </c>
      <c r="T99" t="s">
        <v>1180</v>
      </c>
      <c r="U99" s="18"/>
      <c r="V99" t="b">
        <f>IF(AND(Table_Trailer_Restock_JSON[[#This Row],[Is Geo Trailer Stock]]=FALSE,Table_Trailer_Restock_JSON[[#This Row],[Is Geo Case Stock]]=FALSE),FALSE,TRUE)</f>
        <v>1</v>
      </c>
    </row>
    <row r="100" spans="1:22" x14ac:dyDescent="0.45">
      <c r="A100">
        <v>98</v>
      </c>
      <c r="B100" t="s">
        <v>256</v>
      </c>
      <c r="E100" t="s">
        <v>29</v>
      </c>
      <c r="F100">
        <v>1005812473</v>
      </c>
      <c r="G100">
        <v>5</v>
      </c>
      <c r="H100">
        <v>5</v>
      </c>
      <c r="I100" t="s">
        <v>994</v>
      </c>
      <c r="J100" t="b">
        <v>1</v>
      </c>
      <c r="K100" t="b">
        <v>1</v>
      </c>
      <c r="L100" t="b">
        <v>0</v>
      </c>
      <c r="N100" t="s">
        <v>258</v>
      </c>
      <c r="O100">
        <v>4</v>
      </c>
      <c r="P100">
        <v>2</v>
      </c>
      <c r="Q100" t="s">
        <v>848</v>
      </c>
      <c r="R100" t="s">
        <v>877</v>
      </c>
      <c r="S100">
        <v>1</v>
      </c>
      <c r="T100" t="s">
        <v>1181</v>
      </c>
      <c r="U100" s="18"/>
      <c r="V100" t="b">
        <f>IF(AND(Table_Trailer_Restock_JSON[[#This Row],[Is Geo Trailer Stock]]=FALSE,Table_Trailer_Restock_JSON[[#This Row],[Is Geo Case Stock]]=FALSE),FALSE,TRUE)</f>
        <v>1</v>
      </c>
    </row>
    <row r="101" spans="1:22" x14ac:dyDescent="0.45">
      <c r="A101">
        <v>99</v>
      </c>
      <c r="B101" t="s">
        <v>260</v>
      </c>
      <c r="E101" t="s">
        <v>29</v>
      </c>
      <c r="F101">
        <v>1000010438</v>
      </c>
      <c r="G101">
        <v>2</v>
      </c>
      <c r="H101">
        <v>2</v>
      </c>
      <c r="I101" t="s">
        <v>995</v>
      </c>
      <c r="J101" t="b">
        <v>1</v>
      </c>
      <c r="K101" t="b">
        <v>1</v>
      </c>
      <c r="L101" t="b">
        <v>0</v>
      </c>
      <c r="N101" t="s">
        <v>258</v>
      </c>
      <c r="O101">
        <v>1</v>
      </c>
      <c r="Q101" t="s">
        <v>848</v>
      </c>
      <c r="R101" t="s">
        <v>877</v>
      </c>
      <c r="S101">
        <v>2</v>
      </c>
      <c r="T101" t="s">
        <v>1181</v>
      </c>
      <c r="U101" s="18"/>
      <c r="V101" t="b">
        <f>IF(AND(Table_Trailer_Restock_JSON[[#This Row],[Is Geo Trailer Stock]]=FALSE,Table_Trailer_Restock_JSON[[#This Row],[Is Geo Case Stock]]=FALSE),FALSE,TRUE)</f>
        <v>1</v>
      </c>
    </row>
    <row r="102" spans="1:22" x14ac:dyDescent="0.45">
      <c r="A102">
        <v>100</v>
      </c>
      <c r="B102" t="s">
        <v>261</v>
      </c>
      <c r="E102" t="s">
        <v>29</v>
      </c>
      <c r="F102">
        <v>1000040984</v>
      </c>
      <c r="G102" t="s">
        <v>121</v>
      </c>
      <c r="H102" t="s">
        <v>121</v>
      </c>
      <c r="I102" t="s">
        <v>996</v>
      </c>
      <c r="J102" t="b">
        <v>1</v>
      </c>
      <c r="K102" t="b">
        <v>1</v>
      </c>
      <c r="L102" t="b">
        <v>0</v>
      </c>
      <c r="N102" t="s">
        <v>258</v>
      </c>
      <c r="O102">
        <v>25</v>
      </c>
      <c r="P102">
        <v>4</v>
      </c>
      <c r="Q102" t="s">
        <v>848</v>
      </c>
      <c r="R102" t="s">
        <v>877</v>
      </c>
      <c r="S102">
        <v>3</v>
      </c>
      <c r="T102" t="s">
        <v>1181</v>
      </c>
      <c r="U102" s="18"/>
      <c r="V102" t="b">
        <f>IF(AND(Table_Trailer_Restock_JSON[[#This Row],[Is Geo Trailer Stock]]=FALSE,Table_Trailer_Restock_JSON[[#This Row],[Is Geo Case Stock]]=FALSE),FALSE,TRUE)</f>
        <v>1</v>
      </c>
    </row>
    <row r="103" spans="1:22" x14ac:dyDescent="0.45">
      <c r="A103">
        <v>101</v>
      </c>
      <c r="B103" t="s">
        <v>263</v>
      </c>
      <c r="E103" t="s">
        <v>265</v>
      </c>
      <c r="F103">
        <v>402569</v>
      </c>
      <c r="G103">
        <v>6</v>
      </c>
      <c r="H103">
        <v>3</v>
      </c>
      <c r="I103" t="s">
        <v>997</v>
      </c>
      <c r="J103" t="b">
        <v>1</v>
      </c>
      <c r="K103" t="b">
        <v>1</v>
      </c>
      <c r="L103" t="b">
        <v>0</v>
      </c>
      <c r="N103" t="s">
        <v>258</v>
      </c>
      <c r="O103">
        <v>3</v>
      </c>
      <c r="P103">
        <v>1</v>
      </c>
      <c r="Q103" t="s">
        <v>848</v>
      </c>
      <c r="R103" t="s">
        <v>877</v>
      </c>
      <c r="S103">
        <v>4</v>
      </c>
      <c r="T103" t="s">
        <v>1181</v>
      </c>
      <c r="U103" s="18"/>
      <c r="V103" t="b">
        <f>IF(AND(Table_Trailer_Restock_JSON[[#This Row],[Is Geo Trailer Stock]]=FALSE,Table_Trailer_Restock_JSON[[#This Row],[Is Geo Case Stock]]=FALSE),FALSE,TRUE)</f>
        <v>1</v>
      </c>
    </row>
    <row r="104" spans="1:22" x14ac:dyDescent="0.45">
      <c r="A104">
        <v>102</v>
      </c>
      <c r="B104" t="s">
        <v>266</v>
      </c>
      <c r="E104" t="s">
        <v>29</v>
      </c>
      <c r="F104" t="s">
        <v>268</v>
      </c>
      <c r="G104">
        <v>10</v>
      </c>
      <c r="H104">
        <v>5</v>
      </c>
      <c r="I104" t="s">
        <v>998</v>
      </c>
      <c r="J104" t="b">
        <v>1</v>
      </c>
      <c r="K104" t="b">
        <v>1</v>
      </c>
      <c r="L104" t="b">
        <v>0</v>
      </c>
      <c r="N104" t="s">
        <v>258</v>
      </c>
      <c r="O104">
        <v>4</v>
      </c>
      <c r="P104">
        <v>2</v>
      </c>
      <c r="Q104" t="s">
        <v>848</v>
      </c>
      <c r="R104" t="s">
        <v>877</v>
      </c>
      <c r="S104">
        <v>5</v>
      </c>
      <c r="T104" t="s">
        <v>1181</v>
      </c>
      <c r="U104" s="18"/>
      <c r="V104" t="b">
        <f>IF(AND(Table_Trailer_Restock_JSON[[#This Row],[Is Geo Trailer Stock]]=FALSE,Table_Trailer_Restock_JSON[[#This Row],[Is Geo Case Stock]]=FALSE),FALSE,TRUE)</f>
        <v>1</v>
      </c>
    </row>
    <row r="105" spans="1:22" x14ac:dyDescent="0.45">
      <c r="A105">
        <v>103</v>
      </c>
      <c r="B105" t="s">
        <v>269</v>
      </c>
      <c r="E105" t="s">
        <v>29</v>
      </c>
      <c r="F105" t="s">
        <v>270</v>
      </c>
      <c r="G105">
        <v>10</v>
      </c>
      <c r="H105">
        <v>5</v>
      </c>
      <c r="I105" t="s">
        <v>999</v>
      </c>
      <c r="J105" t="b">
        <v>1</v>
      </c>
      <c r="K105" t="b">
        <v>1</v>
      </c>
      <c r="L105" t="b">
        <v>0</v>
      </c>
      <c r="N105" t="s">
        <v>258</v>
      </c>
      <c r="O105">
        <v>4</v>
      </c>
      <c r="P105">
        <v>2</v>
      </c>
      <c r="Q105" t="s">
        <v>848</v>
      </c>
      <c r="R105" t="s">
        <v>877</v>
      </c>
      <c r="S105">
        <v>6</v>
      </c>
      <c r="T105" t="s">
        <v>1181</v>
      </c>
      <c r="U105" s="18"/>
      <c r="V105" t="b">
        <f>IF(AND(Table_Trailer_Restock_JSON[[#This Row],[Is Geo Trailer Stock]]=FALSE,Table_Trailer_Restock_JSON[[#This Row],[Is Geo Case Stock]]=FALSE),FALSE,TRUE)</f>
        <v>1</v>
      </c>
    </row>
    <row r="106" spans="1:22" x14ac:dyDescent="0.45">
      <c r="A106">
        <v>104</v>
      </c>
      <c r="B106" t="s">
        <v>271</v>
      </c>
      <c r="E106" t="s">
        <v>29</v>
      </c>
      <c r="F106" t="s">
        <v>273</v>
      </c>
      <c r="G106">
        <v>10</v>
      </c>
      <c r="H106">
        <v>5</v>
      </c>
      <c r="I106" t="s">
        <v>1000</v>
      </c>
      <c r="J106" t="b">
        <v>1</v>
      </c>
      <c r="K106" t="b">
        <v>1</v>
      </c>
      <c r="L106" t="b">
        <v>0</v>
      </c>
      <c r="N106" t="s">
        <v>258</v>
      </c>
      <c r="O106">
        <v>4</v>
      </c>
      <c r="P106">
        <v>2</v>
      </c>
      <c r="Q106" t="s">
        <v>848</v>
      </c>
      <c r="R106" t="s">
        <v>877</v>
      </c>
      <c r="S106">
        <v>7</v>
      </c>
      <c r="T106" t="s">
        <v>1181</v>
      </c>
      <c r="U106" s="18"/>
      <c r="V106" t="b">
        <f>IF(AND(Table_Trailer_Restock_JSON[[#This Row],[Is Geo Trailer Stock]]=FALSE,Table_Trailer_Restock_JSON[[#This Row],[Is Geo Case Stock]]=FALSE),FALSE,TRUE)</f>
        <v>1</v>
      </c>
    </row>
    <row r="107" spans="1:22" x14ac:dyDescent="0.45">
      <c r="A107">
        <v>105</v>
      </c>
      <c r="B107" t="s">
        <v>274</v>
      </c>
      <c r="E107" t="s">
        <v>29</v>
      </c>
      <c r="F107" t="s">
        <v>275</v>
      </c>
      <c r="G107">
        <v>10</v>
      </c>
      <c r="H107">
        <v>5</v>
      </c>
      <c r="I107" t="s">
        <v>1001</v>
      </c>
      <c r="J107" t="b">
        <v>1</v>
      </c>
      <c r="K107" t="b">
        <v>1</v>
      </c>
      <c r="L107" t="b">
        <v>0</v>
      </c>
      <c r="N107" t="s">
        <v>258</v>
      </c>
      <c r="O107">
        <v>4</v>
      </c>
      <c r="P107">
        <v>2</v>
      </c>
      <c r="Q107" t="s">
        <v>848</v>
      </c>
      <c r="R107" t="s">
        <v>877</v>
      </c>
      <c r="S107">
        <v>8</v>
      </c>
      <c r="T107" t="s">
        <v>1181</v>
      </c>
      <c r="U107" s="18"/>
      <c r="V107" t="b">
        <f>IF(AND(Table_Trailer_Restock_JSON[[#This Row],[Is Geo Trailer Stock]]=FALSE,Table_Trailer_Restock_JSON[[#This Row],[Is Geo Case Stock]]=FALSE),FALSE,TRUE)</f>
        <v>1</v>
      </c>
    </row>
    <row r="108" spans="1:22" x14ac:dyDescent="0.45">
      <c r="A108">
        <v>106</v>
      </c>
      <c r="B108" t="s">
        <v>276</v>
      </c>
      <c r="E108" t="s">
        <v>29</v>
      </c>
      <c r="F108" t="s">
        <v>279</v>
      </c>
      <c r="G108">
        <v>4</v>
      </c>
      <c r="H108">
        <v>3</v>
      </c>
      <c r="I108" t="s">
        <v>1002</v>
      </c>
      <c r="J108" t="b">
        <v>1</v>
      </c>
      <c r="K108" t="b">
        <v>1</v>
      </c>
      <c r="L108" t="b">
        <v>0</v>
      </c>
      <c r="N108" t="s">
        <v>881</v>
      </c>
      <c r="O108">
        <v>1</v>
      </c>
      <c r="Q108" t="s">
        <v>848</v>
      </c>
      <c r="R108" t="s">
        <v>880</v>
      </c>
      <c r="S108">
        <v>1</v>
      </c>
      <c r="T108" t="s">
        <v>1182</v>
      </c>
      <c r="U108" s="18"/>
      <c r="V108" t="b">
        <f>IF(AND(Table_Trailer_Restock_JSON[[#This Row],[Is Geo Trailer Stock]]=FALSE,Table_Trailer_Restock_JSON[[#This Row],[Is Geo Case Stock]]=FALSE),FALSE,TRUE)</f>
        <v>1</v>
      </c>
    </row>
    <row r="109" spans="1:22" x14ac:dyDescent="0.45">
      <c r="A109">
        <v>107</v>
      </c>
      <c r="B109" t="s">
        <v>280</v>
      </c>
      <c r="E109" t="s">
        <v>29</v>
      </c>
      <c r="F109">
        <v>1001879523</v>
      </c>
      <c r="G109" t="s">
        <v>281</v>
      </c>
      <c r="H109" t="s">
        <v>89</v>
      </c>
      <c r="I109" t="s">
        <v>1003</v>
      </c>
      <c r="J109" t="b">
        <v>1</v>
      </c>
      <c r="K109" t="b">
        <v>1</v>
      </c>
      <c r="L109" t="b">
        <v>0</v>
      </c>
      <c r="N109" t="s">
        <v>881</v>
      </c>
      <c r="O109">
        <v>1</v>
      </c>
      <c r="Q109" t="s">
        <v>848</v>
      </c>
      <c r="R109" t="s">
        <v>880</v>
      </c>
      <c r="S109">
        <v>2</v>
      </c>
      <c r="T109" t="s">
        <v>1182</v>
      </c>
      <c r="U109" s="18"/>
      <c r="V109" t="b">
        <f>IF(AND(Table_Trailer_Restock_JSON[[#This Row],[Is Geo Trailer Stock]]=FALSE,Table_Trailer_Restock_JSON[[#This Row],[Is Geo Case Stock]]=FALSE),FALSE,TRUE)</f>
        <v>1</v>
      </c>
    </row>
    <row r="110" spans="1:22" x14ac:dyDescent="0.45">
      <c r="A110">
        <v>108</v>
      </c>
      <c r="B110" t="s">
        <v>282</v>
      </c>
      <c r="E110" t="s">
        <v>29</v>
      </c>
      <c r="F110">
        <v>267000</v>
      </c>
      <c r="G110" t="s">
        <v>284</v>
      </c>
      <c r="H110" t="s">
        <v>284</v>
      </c>
      <c r="I110" t="s">
        <v>1004</v>
      </c>
      <c r="J110" t="b">
        <v>1</v>
      </c>
      <c r="K110" t="b">
        <v>1</v>
      </c>
      <c r="L110" t="b">
        <v>0</v>
      </c>
      <c r="N110" t="s">
        <v>881</v>
      </c>
      <c r="O110" t="s">
        <v>116</v>
      </c>
      <c r="Q110" t="s">
        <v>848</v>
      </c>
      <c r="R110" t="s">
        <v>880</v>
      </c>
      <c r="S110">
        <v>3</v>
      </c>
      <c r="T110" t="s">
        <v>1182</v>
      </c>
      <c r="U110" s="18"/>
      <c r="V110" t="b">
        <f>IF(AND(Table_Trailer_Restock_JSON[[#This Row],[Is Geo Trailer Stock]]=FALSE,Table_Trailer_Restock_JSON[[#This Row],[Is Geo Case Stock]]=FALSE),FALSE,TRUE)</f>
        <v>1</v>
      </c>
    </row>
    <row r="111" spans="1:22" x14ac:dyDescent="0.45">
      <c r="A111">
        <v>109</v>
      </c>
      <c r="B111" t="s">
        <v>285</v>
      </c>
      <c r="E111" t="s">
        <v>287</v>
      </c>
      <c r="F111" t="s">
        <v>288</v>
      </c>
      <c r="G111">
        <v>4</v>
      </c>
      <c r="H111">
        <v>4</v>
      </c>
      <c r="I111" t="s">
        <v>1005</v>
      </c>
      <c r="J111" t="b">
        <v>1</v>
      </c>
      <c r="K111" t="b">
        <v>1</v>
      </c>
      <c r="L111" t="b">
        <v>0</v>
      </c>
      <c r="N111" t="s">
        <v>881</v>
      </c>
      <c r="O111">
        <v>2</v>
      </c>
      <c r="P111">
        <v>1</v>
      </c>
      <c r="Q111" t="s">
        <v>848</v>
      </c>
      <c r="R111" t="s">
        <v>880</v>
      </c>
      <c r="S111">
        <v>4</v>
      </c>
      <c r="T111" t="s">
        <v>1182</v>
      </c>
      <c r="U111" s="18"/>
      <c r="V111" t="b">
        <f>IF(AND(Table_Trailer_Restock_JSON[[#This Row],[Is Geo Trailer Stock]]=FALSE,Table_Trailer_Restock_JSON[[#This Row],[Is Geo Case Stock]]=FALSE),FALSE,TRUE)</f>
        <v>1</v>
      </c>
    </row>
    <row r="112" spans="1:22" x14ac:dyDescent="0.45">
      <c r="A112">
        <v>110</v>
      </c>
      <c r="B112" t="s">
        <v>289</v>
      </c>
      <c r="E112" t="s">
        <v>29</v>
      </c>
      <c r="F112">
        <v>805513</v>
      </c>
      <c r="G112">
        <v>4</v>
      </c>
      <c r="H112">
        <v>1</v>
      </c>
      <c r="I112" t="s">
        <v>1006</v>
      </c>
      <c r="J112" t="b">
        <v>1</v>
      </c>
      <c r="K112" t="b">
        <v>1</v>
      </c>
      <c r="L112" t="b">
        <v>0</v>
      </c>
      <c r="N112" t="s">
        <v>881</v>
      </c>
      <c r="O112">
        <v>1</v>
      </c>
      <c r="Q112" t="s">
        <v>848</v>
      </c>
      <c r="R112" t="s">
        <v>880</v>
      </c>
      <c r="S112">
        <v>5</v>
      </c>
      <c r="T112" t="s">
        <v>1182</v>
      </c>
      <c r="U112" s="18"/>
      <c r="V112" t="b">
        <f>IF(AND(Table_Trailer_Restock_JSON[[#This Row],[Is Geo Trailer Stock]]=FALSE,Table_Trailer_Restock_JSON[[#This Row],[Is Geo Case Stock]]=FALSE),FALSE,TRUE)</f>
        <v>1</v>
      </c>
    </row>
    <row r="113" spans="1:22" x14ac:dyDescent="0.45">
      <c r="A113">
        <v>111</v>
      </c>
      <c r="B113" t="s">
        <v>291</v>
      </c>
      <c r="E113" t="s">
        <v>29</v>
      </c>
      <c r="F113">
        <v>313008958</v>
      </c>
      <c r="G113" t="s">
        <v>120</v>
      </c>
      <c r="H113" t="s">
        <v>121</v>
      </c>
      <c r="I113" t="s">
        <v>1007</v>
      </c>
      <c r="J113" t="b">
        <v>1</v>
      </c>
      <c r="K113" t="b">
        <v>1</v>
      </c>
      <c r="L113" t="b">
        <v>0</v>
      </c>
      <c r="N113" t="s">
        <v>881</v>
      </c>
      <c r="O113">
        <v>4</v>
      </c>
      <c r="P113">
        <v>1</v>
      </c>
      <c r="Q113" t="s">
        <v>848</v>
      </c>
      <c r="R113" t="s">
        <v>880</v>
      </c>
      <c r="S113">
        <v>6</v>
      </c>
      <c r="T113" t="s">
        <v>1182</v>
      </c>
      <c r="U113" s="18"/>
      <c r="V113" t="b">
        <f>IF(AND(Table_Trailer_Restock_JSON[[#This Row],[Is Geo Trailer Stock]]=FALSE,Table_Trailer_Restock_JSON[[#This Row],[Is Geo Case Stock]]=FALSE),FALSE,TRUE)</f>
        <v>1</v>
      </c>
    </row>
    <row r="114" spans="1:22" x14ac:dyDescent="0.45">
      <c r="A114">
        <v>112</v>
      </c>
      <c r="B114" t="s">
        <v>292</v>
      </c>
      <c r="E114" t="s">
        <v>29</v>
      </c>
      <c r="F114">
        <v>204711644</v>
      </c>
      <c r="G114">
        <v>4</v>
      </c>
      <c r="H114" t="s">
        <v>294</v>
      </c>
      <c r="I114" t="s">
        <v>1008</v>
      </c>
      <c r="J114" t="b">
        <v>1</v>
      </c>
      <c r="K114" t="b">
        <v>1</v>
      </c>
      <c r="L114" t="b">
        <v>0</v>
      </c>
      <c r="N114" t="s">
        <v>881</v>
      </c>
      <c r="O114">
        <v>1</v>
      </c>
      <c r="Q114" t="s">
        <v>848</v>
      </c>
      <c r="R114" t="s">
        <v>880</v>
      </c>
      <c r="S114">
        <v>7</v>
      </c>
      <c r="T114" t="s">
        <v>1182</v>
      </c>
      <c r="U114" s="18"/>
      <c r="V114" t="b">
        <f>IF(AND(Table_Trailer_Restock_JSON[[#This Row],[Is Geo Trailer Stock]]=FALSE,Table_Trailer_Restock_JSON[[#This Row],[Is Geo Case Stock]]=FALSE),FALSE,TRUE)</f>
        <v>1</v>
      </c>
    </row>
    <row r="115" spans="1:22" x14ac:dyDescent="0.45">
      <c r="A115">
        <v>113</v>
      </c>
      <c r="B115" t="s">
        <v>295</v>
      </c>
      <c r="E115" t="s">
        <v>29</v>
      </c>
      <c r="F115">
        <v>1001546627</v>
      </c>
      <c r="G115" t="s">
        <v>284</v>
      </c>
      <c r="H115" t="s">
        <v>284</v>
      </c>
      <c r="I115" t="s">
        <v>1009</v>
      </c>
      <c r="J115" t="b">
        <v>1</v>
      </c>
      <c r="K115" t="b">
        <v>1</v>
      </c>
      <c r="L115" t="b">
        <v>0</v>
      </c>
      <c r="N115" t="s">
        <v>881</v>
      </c>
      <c r="O115" t="s">
        <v>116</v>
      </c>
      <c r="Q115" t="s">
        <v>848</v>
      </c>
      <c r="R115" t="s">
        <v>880</v>
      </c>
      <c r="S115">
        <v>8</v>
      </c>
      <c r="T115" t="s">
        <v>1182</v>
      </c>
      <c r="U115" s="18"/>
      <c r="V115" t="b">
        <f>IF(AND(Table_Trailer_Restock_JSON[[#This Row],[Is Geo Trailer Stock]]=FALSE,Table_Trailer_Restock_JSON[[#This Row],[Is Geo Case Stock]]=FALSE),FALSE,TRUE)</f>
        <v>1</v>
      </c>
    </row>
    <row r="116" spans="1:22" x14ac:dyDescent="0.45">
      <c r="A116">
        <v>114</v>
      </c>
      <c r="B116" t="s">
        <v>296</v>
      </c>
      <c r="E116" t="s">
        <v>29</v>
      </c>
      <c r="F116">
        <v>391756</v>
      </c>
      <c r="G116" t="s">
        <v>120</v>
      </c>
      <c r="H116" t="s">
        <v>297</v>
      </c>
      <c r="I116" t="s">
        <v>1010</v>
      </c>
      <c r="J116" t="b">
        <v>1</v>
      </c>
      <c r="K116" t="b">
        <v>1</v>
      </c>
      <c r="L116" t="b">
        <v>0</v>
      </c>
      <c r="N116" t="s">
        <v>881</v>
      </c>
      <c r="O116">
        <v>20</v>
      </c>
      <c r="P116">
        <v>6</v>
      </c>
      <c r="Q116" t="s">
        <v>848</v>
      </c>
      <c r="R116" t="s">
        <v>880</v>
      </c>
      <c r="S116">
        <v>9</v>
      </c>
      <c r="T116" t="s">
        <v>1182</v>
      </c>
      <c r="U116" s="18"/>
      <c r="V116" t="b">
        <f>IF(AND(Table_Trailer_Restock_JSON[[#This Row],[Is Geo Trailer Stock]]=FALSE,Table_Trailer_Restock_JSON[[#This Row],[Is Geo Case Stock]]=FALSE),FALSE,TRUE)</f>
        <v>1</v>
      </c>
    </row>
    <row r="117" spans="1:22" x14ac:dyDescent="0.45">
      <c r="A117">
        <v>115</v>
      </c>
      <c r="B117" t="s">
        <v>298</v>
      </c>
      <c r="E117" t="s">
        <v>40</v>
      </c>
      <c r="F117" t="s">
        <v>302</v>
      </c>
      <c r="G117">
        <v>2</v>
      </c>
      <c r="H117">
        <v>2</v>
      </c>
      <c r="I117" t="s">
        <v>1011</v>
      </c>
      <c r="J117" t="b">
        <v>1</v>
      </c>
      <c r="K117" t="b">
        <v>1</v>
      </c>
      <c r="L117" t="b">
        <v>0</v>
      </c>
      <c r="N117" t="s">
        <v>300</v>
      </c>
      <c r="O117">
        <v>1</v>
      </c>
      <c r="Q117" t="s">
        <v>848</v>
      </c>
      <c r="R117" t="s">
        <v>883</v>
      </c>
      <c r="S117">
        <v>1</v>
      </c>
      <c r="T117" t="s">
        <v>1183</v>
      </c>
      <c r="U117" s="18"/>
      <c r="V117" t="b">
        <f>IF(AND(Table_Trailer_Restock_JSON[[#This Row],[Is Geo Trailer Stock]]=FALSE,Table_Trailer_Restock_JSON[[#This Row],[Is Geo Case Stock]]=FALSE),FALSE,TRUE)</f>
        <v>1</v>
      </c>
    </row>
    <row r="118" spans="1:22" x14ac:dyDescent="0.45">
      <c r="A118">
        <v>116</v>
      </c>
      <c r="B118" t="s">
        <v>303</v>
      </c>
      <c r="E118" t="s">
        <v>101</v>
      </c>
      <c r="F118" t="s">
        <v>307</v>
      </c>
      <c r="G118" t="s">
        <v>308</v>
      </c>
      <c r="H118" t="s">
        <v>309</v>
      </c>
      <c r="I118" t="s">
        <v>1012</v>
      </c>
      <c r="J118" t="b">
        <v>1</v>
      </c>
      <c r="K118" t="b">
        <v>1</v>
      </c>
      <c r="L118" t="b">
        <v>0</v>
      </c>
      <c r="N118" t="s">
        <v>304</v>
      </c>
      <c r="O118">
        <v>50</v>
      </c>
      <c r="P118">
        <v>25</v>
      </c>
      <c r="Q118" t="s">
        <v>848</v>
      </c>
      <c r="R118" t="s">
        <v>886</v>
      </c>
      <c r="S118">
        <v>1</v>
      </c>
      <c r="T118" t="s">
        <v>1184</v>
      </c>
      <c r="U118" s="18"/>
      <c r="V118" t="b">
        <f>IF(AND(Table_Trailer_Restock_JSON[[#This Row],[Is Geo Trailer Stock]]=FALSE,Table_Trailer_Restock_JSON[[#This Row],[Is Geo Case Stock]]=FALSE),FALSE,TRUE)</f>
        <v>1</v>
      </c>
    </row>
    <row r="119" spans="1:22" x14ac:dyDescent="0.45">
      <c r="A119">
        <v>117</v>
      </c>
      <c r="B119" t="s">
        <v>310</v>
      </c>
      <c r="E119" t="s">
        <v>312</v>
      </c>
      <c r="G119">
        <v>20</v>
      </c>
      <c r="H119">
        <v>10</v>
      </c>
      <c r="I119" t="s">
        <v>1013</v>
      </c>
      <c r="J119" t="b">
        <v>1</v>
      </c>
      <c r="K119" t="b">
        <v>1</v>
      </c>
      <c r="L119" t="b">
        <v>0</v>
      </c>
      <c r="N119" t="s">
        <v>304</v>
      </c>
      <c r="O119">
        <v>4</v>
      </c>
      <c r="P119">
        <v>2</v>
      </c>
      <c r="Q119" t="s">
        <v>848</v>
      </c>
      <c r="R119" t="s">
        <v>886</v>
      </c>
      <c r="S119">
        <v>2</v>
      </c>
      <c r="T119" t="s">
        <v>1184</v>
      </c>
      <c r="U119" s="18"/>
      <c r="V119" t="b">
        <f>IF(AND(Table_Trailer_Restock_JSON[[#This Row],[Is Geo Trailer Stock]]=FALSE,Table_Trailer_Restock_JSON[[#This Row],[Is Geo Case Stock]]=FALSE),FALSE,TRUE)</f>
        <v>1</v>
      </c>
    </row>
    <row r="120" spans="1:22" x14ac:dyDescent="0.45">
      <c r="A120">
        <v>118</v>
      </c>
      <c r="B120" t="s">
        <v>313</v>
      </c>
      <c r="E120" t="s">
        <v>312</v>
      </c>
      <c r="F120" t="s">
        <v>306</v>
      </c>
      <c r="G120">
        <v>20</v>
      </c>
      <c r="H120">
        <v>10</v>
      </c>
      <c r="I120" t="s">
        <v>1014</v>
      </c>
      <c r="J120" t="b">
        <v>1</v>
      </c>
      <c r="K120" t="b">
        <v>1</v>
      </c>
      <c r="L120" t="b">
        <v>0</v>
      </c>
      <c r="N120" t="s">
        <v>304</v>
      </c>
      <c r="O120">
        <v>2</v>
      </c>
      <c r="Q120" t="s">
        <v>848</v>
      </c>
      <c r="R120" t="s">
        <v>886</v>
      </c>
      <c r="S120">
        <v>3</v>
      </c>
      <c r="T120" t="s">
        <v>1184</v>
      </c>
      <c r="U120" s="18"/>
      <c r="V120" t="b">
        <f>IF(AND(Table_Trailer_Restock_JSON[[#This Row],[Is Geo Trailer Stock]]=FALSE,Table_Trailer_Restock_JSON[[#This Row],[Is Geo Case Stock]]=FALSE),FALSE,TRUE)</f>
        <v>1</v>
      </c>
    </row>
    <row r="121" spans="1:22" x14ac:dyDescent="0.45">
      <c r="A121">
        <v>119</v>
      </c>
      <c r="B121" t="s">
        <v>314</v>
      </c>
      <c r="E121" t="s">
        <v>101</v>
      </c>
      <c r="F121" t="s">
        <v>316</v>
      </c>
      <c r="G121" t="s">
        <v>128</v>
      </c>
      <c r="H121" t="s">
        <v>128</v>
      </c>
      <c r="I121" t="s">
        <v>1015</v>
      </c>
      <c r="J121" t="b">
        <v>1</v>
      </c>
      <c r="K121" t="b">
        <v>1</v>
      </c>
      <c r="L121" t="b">
        <v>0</v>
      </c>
      <c r="N121" t="s">
        <v>304</v>
      </c>
      <c r="O121">
        <v>2</v>
      </c>
      <c r="P121">
        <v>1</v>
      </c>
      <c r="Q121" t="s">
        <v>848</v>
      </c>
      <c r="R121" t="s">
        <v>886</v>
      </c>
      <c r="S121">
        <v>4</v>
      </c>
      <c r="T121" t="s">
        <v>1184</v>
      </c>
      <c r="U121" s="18"/>
      <c r="V121" t="b">
        <f>IF(AND(Table_Trailer_Restock_JSON[[#This Row],[Is Geo Trailer Stock]]=FALSE,Table_Trailer_Restock_JSON[[#This Row],[Is Geo Case Stock]]=FALSE),FALSE,TRUE)</f>
        <v>1</v>
      </c>
    </row>
    <row r="122" spans="1:22" x14ac:dyDescent="0.45">
      <c r="A122">
        <v>120</v>
      </c>
      <c r="B122" t="s">
        <v>317</v>
      </c>
      <c r="E122" t="s">
        <v>40</v>
      </c>
      <c r="F122">
        <v>33927</v>
      </c>
      <c r="G122" t="s">
        <v>128</v>
      </c>
      <c r="H122" t="s">
        <v>128</v>
      </c>
      <c r="I122" t="s">
        <v>1016</v>
      </c>
      <c r="J122" t="b">
        <v>1</v>
      </c>
      <c r="K122" t="b">
        <v>1</v>
      </c>
      <c r="L122" t="b">
        <v>0</v>
      </c>
      <c r="N122" t="s">
        <v>304</v>
      </c>
      <c r="O122">
        <v>2</v>
      </c>
      <c r="P122">
        <v>1</v>
      </c>
      <c r="Q122" t="s">
        <v>848</v>
      </c>
      <c r="R122" t="s">
        <v>886</v>
      </c>
      <c r="S122">
        <v>5</v>
      </c>
      <c r="T122" t="s">
        <v>1184</v>
      </c>
      <c r="U122" s="18"/>
      <c r="V122" t="b">
        <f>IF(AND(Table_Trailer_Restock_JSON[[#This Row],[Is Geo Trailer Stock]]=FALSE,Table_Trailer_Restock_JSON[[#This Row],[Is Geo Case Stock]]=FALSE),FALSE,TRUE)</f>
        <v>1</v>
      </c>
    </row>
    <row r="123" spans="1:22" x14ac:dyDescent="0.45">
      <c r="A123">
        <v>121</v>
      </c>
      <c r="B123" t="s">
        <v>319</v>
      </c>
      <c r="E123" t="s">
        <v>101</v>
      </c>
      <c r="F123" t="s">
        <v>321</v>
      </c>
      <c r="G123">
        <v>100</v>
      </c>
      <c r="H123">
        <v>50</v>
      </c>
      <c r="I123" t="s">
        <v>1017</v>
      </c>
      <c r="J123" t="b">
        <v>1</v>
      </c>
      <c r="K123" t="b">
        <v>1</v>
      </c>
      <c r="L123" t="b">
        <v>0</v>
      </c>
      <c r="N123" t="s">
        <v>304</v>
      </c>
      <c r="O123">
        <v>20</v>
      </c>
      <c r="P123">
        <v>10</v>
      </c>
      <c r="Q123" t="s">
        <v>848</v>
      </c>
      <c r="R123" t="s">
        <v>886</v>
      </c>
      <c r="S123">
        <v>6</v>
      </c>
      <c r="T123" t="s">
        <v>1184</v>
      </c>
      <c r="U123" s="18"/>
      <c r="V123" t="b">
        <f>IF(AND(Table_Trailer_Restock_JSON[[#This Row],[Is Geo Trailer Stock]]=FALSE,Table_Trailer_Restock_JSON[[#This Row],[Is Geo Case Stock]]=FALSE),FALSE,TRUE)</f>
        <v>1</v>
      </c>
    </row>
    <row r="124" spans="1:22" x14ac:dyDescent="0.45">
      <c r="A124">
        <v>122</v>
      </c>
      <c r="B124" t="s">
        <v>322</v>
      </c>
      <c r="E124" t="s">
        <v>101</v>
      </c>
      <c r="F124" t="s">
        <v>324</v>
      </c>
      <c r="G124" t="s">
        <v>325</v>
      </c>
      <c r="H124" t="s">
        <v>325</v>
      </c>
      <c r="I124" t="s">
        <v>1018</v>
      </c>
      <c r="J124" t="b">
        <v>1</v>
      </c>
      <c r="K124" t="b">
        <v>1</v>
      </c>
      <c r="L124" t="b">
        <v>0</v>
      </c>
      <c r="N124" t="s">
        <v>304</v>
      </c>
      <c r="O124">
        <v>100</v>
      </c>
      <c r="P124">
        <v>50</v>
      </c>
      <c r="Q124" t="s">
        <v>848</v>
      </c>
      <c r="R124" t="s">
        <v>886</v>
      </c>
      <c r="S124">
        <v>7</v>
      </c>
      <c r="T124" t="s">
        <v>1184</v>
      </c>
      <c r="U124" s="18"/>
      <c r="V124" t="b">
        <f>IF(AND(Table_Trailer_Restock_JSON[[#This Row],[Is Geo Trailer Stock]]=FALSE,Table_Trailer_Restock_JSON[[#This Row],[Is Geo Case Stock]]=FALSE),FALSE,TRUE)</f>
        <v>1</v>
      </c>
    </row>
    <row r="125" spans="1:22" x14ac:dyDescent="0.45">
      <c r="A125">
        <v>123</v>
      </c>
      <c r="B125" t="s">
        <v>326</v>
      </c>
      <c r="E125" t="s">
        <v>29</v>
      </c>
      <c r="F125">
        <v>531738</v>
      </c>
      <c r="G125">
        <v>5</v>
      </c>
      <c r="H125">
        <v>5</v>
      </c>
      <c r="I125" t="s">
        <v>1019</v>
      </c>
      <c r="J125" t="b">
        <v>1</v>
      </c>
      <c r="K125" t="b">
        <v>1</v>
      </c>
      <c r="L125" t="b">
        <v>0</v>
      </c>
      <c r="N125" t="s">
        <v>889</v>
      </c>
      <c r="O125">
        <v>2</v>
      </c>
      <c r="P125">
        <v>1</v>
      </c>
      <c r="Q125" t="s">
        <v>848</v>
      </c>
      <c r="R125" t="s">
        <v>888</v>
      </c>
      <c r="S125">
        <v>1</v>
      </c>
      <c r="T125" t="s">
        <v>1185</v>
      </c>
      <c r="U125" s="18"/>
      <c r="V125" t="b">
        <f>IF(AND(Table_Trailer_Restock_JSON[[#This Row],[Is Geo Trailer Stock]]=FALSE,Table_Trailer_Restock_JSON[[#This Row],[Is Geo Case Stock]]=FALSE),FALSE,TRUE)</f>
        <v>1</v>
      </c>
    </row>
    <row r="126" spans="1:22" x14ac:dyDescent="0.45">
      <c r="A126">
        <v>124</v>
      </c>
      <c r="B126" t="s">
        <v>329</v>
      </c>
      <c r="E126" t="s">
        <v>29</v>
      </c>
      <c r="F126">
        <v>532815</v>
      </c>
      <c r="G126">
        <v>5</v>
      </c>
      <c r="H126">
        <v>5</v>
      </c>
      <c r="I126" t="s">
        <v>1020</v>
      </c>
      <c r="J126" t="b">
        <v>1</v>
      </c>
      <c r="K126" t="b">
        <v>1</v>
      </c>
      <c r="L126" t="b">
        <v>0</v>
      </c>
      <c r="N126" t="s">
        <v>889</v>
      </c>
      <c r="O126">
        <v>2</v>
      </c>
      <c r="P126">
        <v>1</v>
      </c>
      <c r="Q126" t="s">
        <v>848</v>
      </c>
      <c r="R126" t="s">
        <v>888</v>
      </c>
      <c r="S126">
        <v>2</v>
      </c>
      <c r="T126" t="s">
        <v>1185</v>
      </c>
      <c r="U126" s="18"/>
      <c r="V126" t="b">
        <f>IF(AND(Table_Trailer_Restock_JSON[[#This Row],[Is Geo Trailer Stock]]=FALSE,Table_Trailer_Restock_JSON[[#This Row],[Is Geo Case Stock]]=FALSE),FALSE,TRUE)</f>
        <v>1</v>
      </c>
    </row>
    <row r="127" spans="1:22" x14ac:dyDescent="0.45">
      <c r="A127">
        <v>125</v>
      </c>
      <c r="B127" t="s">
        <v>331</v>
      </c>
      <c r="E127" t="s">
        <v>29</v>
      </c>
      <c r="F127" t="s">
        <v>333</v>
      </c>
      <c r="G127">
        <v>10</v>
      </c>
      <c r="H127">
        <v>10</v>
      </c>
      <c r="I127" t="s">
        <v>1021</v>
      </c>
      <c r="J127" t="b">
        <v>1</v>
      </c>
      <c r="K127" t="b">
        <v>1</v>
      </c>
      <c r="L127" t="b">
        <v>0</v>
      </c>
      <c r="N127" t="s">
        <v>889</v>
      </c>
      <c r="O127">
        <v>2</v>
      </c>
      <c r="Q127" t="s">
        <v>848</v>
      </c>
      <c r="R127" t="s">
        <v>888</v>
      </c>
      <c r="S127">
        <v>3</v>
      </c>
      <c r="T127" t="s">
        <v>1185</v>
      </c>
      <c r="U127" s="18"/>
      <c r="V127" t="b">
        <f>IF(AND(Table_Trailer_Restock_JSON[[#This Row],[Is Geo Trailer Stock]]=FALSE,Table_Trailer_Restock_JSON[[#This Row],[Is Geo Case Stock]]=FALSE),FALSE,TRUE)</f>
        <v>1</v>
      </c>
    </row>
    <row r="128" spans="1:22" x14ac:dyDescent="0.45">
      <c r="A128">
        <v>126</v>
      </c>
      <c r="B128" t="s">
        <v>334</v>
      </c>
      <c r="E128" t="s">
        <v>29</v>
      </c>
      <c r="F128" t="s">
        <v>335</v>
      </c>
      <c r="G128">
        <v>5</v>
      </c>
      <c r="H128">
        <v>5</v>
      </c>
      <c r="I128" t="s">
        <v>1022</v>
      </c>
      <c r="J128" t="b">
        <v>1</v>
      </c>
      <c r="K128" t="b">
        <v>1</v>
      </c>
      <c r="L128" t="b">
        <v>0</v>
      </c>
      <c r="N128" t="s">
        <v>889</v>
      </c>
      <c r="O128">
        <v>1</v>
      </c>
      <c r="Q128" t="s">
        <v>848</v>
      </c>
      <c r="R128" t="s">
        <v>888</v>
      </c>
      <c r="S128">
        <v>4</v>
      </c>
      <c r="T128" t="s">
        <v>1185</v>
      </c>
      <c r="U128" s="18"/>
      <c r="V128" t="b">
        <f>IF(AND(Table_Trailer_Restock_JSON[[#This Row],[Is Geo Trailer Stock]]=FALSE,Table_Trailer_Restock_JSON[[#This Row],[Is Geo Case Stock]]=FALSE),FALSE,TRUE)</f>
        <v>1</v>
      </c>
    </row>
    <row r="129" spans="1:22" x14ac:dyDescent="0.45">
      <c r="A129">
        <v>127</v>
      </c>
      <c r="B129" t="s">
        <v>336</v>
      </c>
      <c r="E129" t="s">
        <v>29</v>
      </c>
      <c r="F129" t="s">
        <v>339</v>
      </c>
      <c r="G129">
        <v>4</v>
      </c>
      <c r="H129">
        <v>4</v>
      </c>
      <c r="I129" t="s">
        <v>1023</v>
      </c>
      <c r="J129" t="b">
        <v>1</v>
      </c>
      <c r="K129" t="b">
        <v>1</v>
      </c>
      <c r="L129" t="b">
        <v>0</v>
      </c>
      <c r="N129" t="s">
        <v>893</v>
      </c>
      <c r="O129">
        <v>1</v>
      </c>
      <c r="Q129" t="s">
        <v>848</v>
      </c>
      <c r="R129" t="s">
        <v>892</v>
      </c>
      <c r="S129">
        <v>1</v>
      </c>
      <c r="T129" t="s">
        <v>1186</v>
      </c>
      <c r="U129" s="18"/>
      <c r="V129" t="b">
        <f>IF(AND(Table_Trailer_Restock_JSON[[#This Row],[Is Geo Trailer Stock]]=FALSE,Table_Trailer_Restock_JSON[[#This Row],[Is Geo Case Stock]]=FALSE),FALSE,TRUE)</f>
        <v>1</v>
      </c>
    </row>
    <row r="130" spans="1:22" x14ac:dyDescent="0.45">
      <c r="A130">
        <v>128</v>
      </c>
      <c r="B130" t="s">
        <v>340</v>
      </c>
      <c r="E130" t="s">
        <v>29</v>
      </c>
      <c r="F130">
        <v>876793</v>
      </c>
      <c r="G130">
        <v>4</v>
      </c>
      <c r="H130">
        <v>4</v>
      </c>
      <c r="I130" t="s">
        <v>1024</v>
      </c>
      <c r="J130" t="b">
        <v>1</v>
      </c>
      <c r="K130" t="b">
        <v>1</v>
      </c>
      <c r="L130" t="b">
        <v>0</v>
      </c>
      <c r="N130" t="s">
        <v>893</v>
      </c>
      <c r="O130">
        <v>1</v>
      </c>
      <c r="Q130" t="s">
        <v>848</v>
      </c>
      <c r="R130" t="s">
        <v>892</v>
      </c>
      <c r="S130">
        <v>2</v>
      </c>
      <c r="T130" t="s">
        <v>1186</v>
      </c>
      <c r="U130" s="18"/>
      <c r="V130" t="b">
        <f>IF(AND(Table_Trailer_Restock_JSON[[#This Row],[Is Geo Trailer Stock]]=FALSE,Table_Trailer_Restock_JSON[[#This Row],[Is Geo Case Stock]]=FALSE),FALSE,TRUE)</f>
        <v>1</v>
      </c>
    </row>
    <row r="131" spans="1:22" x14ac:dyDescent="0.45">
      <c r="A131">
        <v>129</v>
      </c>
      <c r="B131" t="s">
        <v>342</v>
      </c>
      <c r="E131" t="s">
        <v>29</v>
      </c>
      <c r="F131" t="s">
        <v>344</v>
      </c>
      <c r="G131">
        <v>4</v>
      </c>
      <c r="H131">
        <v>4</v>
      </c>
      <c r="I131" t="s">
        <v>1025</v>
      </c>
      <c r="J131" t="b">
        <v>1</v>
      </c>
      <c r="K131" t="b">
        <v>1</v>
      </c>
      <c r="L131" t="b">
        <v>0</v>
      </c>
      <c r="N131" t="s">
        <v>893</v>
      </c>
      <c r="O131">
        <v>2</v>
      </c>
      <c r="P131">
        <v>1</v>
      </c>
      <c r="Q131" t="s">
        <v>848</v>
      </c>
      <c r="R131" t="s">
        <v>892</v>
      </c>
      <c r="S131">
        <v>3</v>
      </c>
      <c r="T131" t="s">
        <v>1186</v>
      </c>
      <c r="U131" s="18"/>
      <c r="V131" t="b">
        <f>IF(AND(Table_Trailer_Restock_JSON[[#This Row],[Is Geo Trailer Stock]]=FALSE,Table_Trailer_Restock_JSON[[#This Row],[Is Geo Case Stock]]=FALSE),FALSE,TRUE)</f>
        <v>1</v>
      </c>
    </row>
    <row r="132" spans="1:22" x14ac:dyDescent="0.45">
      <c r="A132">
        <v>130</v>
      </c>
      <c r="B132" t="s">
        <v>345</v>
      </c>
      <c r="E132" t="s">
        <v>29</v>
      </c>
      <c r="F132">
        <v>434981</v>
      </c>
      <c r="G132">
        <v>4</v>
      </c>
      <c r="H132">
        <v>4</v>
      </c>
      <c r="I132" t="s">
        <v>1026</v>
      </c>
      <c r="J132" t="b">
        <v>1</v>
      </c>
      <c r="K132" t="b">
        <v>1</v>
      </c>
      <c r="L132" t="b">
        <v>0</v>
      </c>
      <c r="N132" t="s">
        <v>893</v>
      </c>
      <c r="O132">
        <v>1</v>
      </c>
      <c r="Q132" t="s">
        <v>848</v>
      </c>
      <c r="R132" t="s">
        <v>892</v>
      </c>
      <c r="S132">
        <v>4</v>
      </c>
      <c r="T132" t="s">
        <v>1186</v>
      </c>
      <c r="U132" s="18"/>
      <c r="V132" t="b">
        <f>IF(AND(Table_Trailer_Restock_JSON[[#This Row],[Is Geo Trailer Stock]]=FALSE,Table_Trailer_Restock_JSON[[#This Row],[Is Geo Case Stock]]=FALSE),FALSE,TRUE)</f>
        <v>1</v>
      </c>
    </row>
    <row r="133" spans="1:22" x14ac:dyDescent="0.45">
      <c r="A133">
        <v>131</v>
      </c>
      <c r="B133" t="s">
        <v>346</v>
      </c>
      <c r="E133" t="s">
        <v>29</v>
      </c>
      <c r="F133">
        <v>1001370815</v>
      </c>
      <c r="G133">
        <v>6</v>
      </c>
      <c r="H133">
        <v>4</v>
      </c>
      <c r="I133" t="s">
        <v>1027</v>
      </c>
      <c r="J133" t="b">
        <v>1</v>
      </c>
      <c r="K133" t="b">
        <v>1</v>
      </c>
      <c r="L133" t="b">
        <v>0</v>
      </c>
      <c r="N133" t="s">
        <v>893</v>
      </c>
      <c r="O133">
        <v>1</v>
      </c>
      <c r="Q133" t="s">
        <v>848</v>
      </c>
      <c r="R133" t="s">
        <v>892</v>
      </c>
      <c r="S133">
        <v>5</v>
      </c>
      <c r="T133" t="s">
        <v>1186</v>
      </c>
      <c r="U133" s="18"/>
      <c r="V133" t="b">
        <f>IF(AND(Table_Trailer_Restock_JSON[[#This Row],[Is Geo Trailer Stock]]=FALSE,Table_Trailer_Restock_JSON[[#This Row],[Is Geo Case Stock]]=FALSE),FALSE,TRUE)</f>
        <v>1</v>
      </c>
    </row>
    <row r="134" spans="1:22" x14ac:dyDescent="0.45">
      <c r="A134">
        <v>132</v>
      </c>
      <c r="B134" t="s">
        <v>347</v>
      </c>
      <c r="E134" t="s">
        <v>29</v>
      </c>
      <c r="F134">
        <v>202056256</v>
      </c>
      <c r="G134">
        <v>6</v>
      </c>
      <c r="H134">
        <v>4</v>
      </c>
      <c r="I134" t="s">
        <v>1028</v>
      </c>
      <c r="J134" t="b">
        <v>1</v>
      </c>
      <c r="K134" t="b">
        <v>1</v>
      </c>
      <c r="L134" t="b">
        <v>0</v>
      </c>
      <c r="N134" t="s">
        <v>893</v>
      </c>
      <c r="O134">
        <v>1</v>
      </c>
      <c r="Q134" t="s">
        <v>848</v>
      </c>
      <c r="R134" t="s">
        <v>892</v>
      </c>
      <c r="S134">
        <v>6</v>
      </c>
      <c r="T134" t="s">
        <v>1186</v>
      </c>
      <c r="U134" s="18"/>
      <c r="V134" t="b">
        <f>IF(AND(Table_Trailer_Restock_JSON[[#This Row],[Is Geo Trailer Stock]]=FALSE,Table_Trailer_Restock_JSON[[#This Row],[Is Geo Case Stock]]=FALSE),FALSE,TRUE)</f>
        <v>1</v>
      </c>
    </row>
    <row r="135" spans="1:22" x14ac:dyDescent="0.45">
      <c r="A135">
        <v>133</v>
      </c>
      <c r="B135" t="s">
        <v>348</v>
      </c>
      <c r="E135" t="s">
        <v>29</v>
      </c>
      <c r="F135">
        <v>100026991</v>
      </c>
      <c r="G135">
        <v>4</v>
      </c>
      <c r="H135">
        <v>4</v>
      </c>
      <c r="I135" t="s">
        <v>1029</v>
      </c>
      <c r="J135" t="b">
        <v>1</v>
      </c>
      <c r="K135" t="b">
        <v>1</v>
      </c>
      <c r="L135" t="b">
        <v>0</v>
      </c>
      <c r="N135" t="s">
        <v>893</v>
      </c>
      <c r="O135">
        <v>1</v>
      </c>
      <c r="Q135" t="s">
        <v>848</v>
      </c>
      <c r="R135" t="s">
        <v>892</v>
      </c>
      <c r="S135">
        <v>7</v>
      </c>
      <c r="T135" t="s">
        <v>1186</v>
      </c>
      <c r="U135" s="18"/>
      <c r="V135" t="b">
        <f>IF(AND(Table_Trailer_Restock_JSON[[#This Row],[Is Geo Trailer Stock]]=FALSE,Table_Trailer_Restock_JSON[[#This Row],[Is Geo Case Stock]]=FALSE),FALSE,TRUE)</f>
        <v>1</v>
      </c>
    </row>
    <row r="136" spans="1:22" x14ac:dyDescent="0.45">
      <c r="A136">
        <v>134</v>
      </c>
      <c r="B136" t="s">
        <v>349</v>
      </c>
      <c r="E136" t="s">
        <v>29</v>
      </c>
      <c r="F136">
        <v>101249</v>
      </c>
      <c r="G136">
        <v>4</v>
      </c>
      <c r="H136">
        <v>4</v>
      </c>
      <c r="I136" t="s">
        <v>1030</v>
      </c>
      <c r="J136" t="b">
        <v>1</v>
      </c>
      <c r="K136" t="b">
        <v>1</v>
      </c>
      <c r="L136" t="b">
        <v>0</v>
      </c>
      <c r="N136" t="s">
        <v>893</v>
      </c>
      <c r="O136">
        <v>1</v>
      </c>
      <c r="Q136" t="s">
        <v>848</v>
      </c>
      <c r="R136" t="s">
        <v>892</v>
      </c>
      <c r="S136">
        <v>8</v>
      </c>
      <c r="T136" t="s">
        <v>1186</v>
      </c>
      <c r="U136" s="18"/>
      <c r="V136" t="b">
        <f>IF(AND(Table_Trailer_Restock_JSON[[#This Row],[Is Geo Trailer Stock]]=FALSE,Table_Trailer_Restock_JSON[[#This Row],[Is Geo Case Stock]]=FALSE),FALSE,TRUE)</f>
        <v>1</v>
      </c>
    </row>
    <row r="137" spans="1:22" x14ac:dyDescent="0.45">
      <c r="A137">
        <v>135</v>
      </c>
      <c r="B137" t="s">
        <v>350</v>
      </c>
      <c r="E137" t="s">
        <v>353</v>
      </c>
      <c r="F137">
        <v>615344</v>
      </c>
      <c r="G137" t="s">
        <v>354</v>
      </c>
      <c r="H137" t="s">
        <v>355</v>
      </c>
      <c r="I137" t="s">
        <v>1031</v>
      </c>
      <c r="J137" t="b">
        <v>1</v>
      </c>
      <c r="K137" t="b">
        <v>1</v>
      </c>
      <c r="L137" t="b">
        <v>0</v>
      </c>
      <c r="N137" t="s">
        <v>896</v>
      </c>
      <c r="O137">
        <v>1</v>
      </c>
      <c r="Q137" t="s">
        <v>848</v>
      </c>
      <c r="R137" t="s">
        <v>895</v>
      </c>
      <c r="S137">
        <v>1</v>
      </c>
      <c r="T137" t="s">
        <v>1187</v>
      </c>
      <c r="U137" s="18"/>
      <c r="V137" t="b">
        <f>IF(AND(Table_Trailer_Restock_JSON[[#This Row],[Is Geo Trailer Stock]]=FALSE,Table_Trailer_Restock_JSON[[#This Row],[Is Geo Case Stock]]=FALSE),FALSE,TRUE)</f>
        <v>1</v>
      </c>
    </row>
    <row r="138" spans="1:22" x14ac:dyDescent="0.45">
      <c r="A138">
        <v>136</v>
      </c>
      <c r="B138" t="s">
        <v>357</v>
      </c>
      <c r="E138" t="s">
        <v>353</v>
      </c>
      <c r="F138">
        <v>72135</v>
      </c>
      <c r="G138" t="s">
        <v>354</v>
      </c>
      <c r="H138" t="s">
        <v>355</v>
      </c>
      <c r="I138" t="s">
        <v>1032</v>
      </c>
      <c r="J138" t="b">
        <v>1</v>
      </c>
      <c r="K138" t="b">
        <v>1</v>
      </c>
      <c r="L138" t="b">
        <v>0</v>
      </c>
      <c r="N138" t="s">
        <v>896</v>
      </c>
      <c r="O138">
        <v>1</v>
      </c>
      <c r="Q138" t="s">
        <v>848</v>
      </c>
      <c r="R138" t="s">
        <v>895</v>
      </c>
      <c r="S138">
        <v>2</v>
      </c>
      <c r="T138" t="s">
        <v>1187</v>
      </c>
      <c r="U138" s="18"/>
      <c r="V138" t="b">
        <f>IF(AND(Table_Trailer_Restock_JSON[[#This Row],[Is Geo Trailer Stock]]=FALSE,Table_Trailer_Restock_JSON[[#This Row],[Is Geo Case Stock]]=FALSE),FALSE,TRUE)</f>
        <v>1</v>
      </c>
    </row>
    <row r="139" spans="1:22" x14ac:dyDescent="0.45">
      <c r="A139">
        <v>137</v>
      </c>
      <c r="B139" t="s">
        <v>358</v>
      </c>
      <c r="E139" t="s">
        <v>353</v>
      </c>
      <c r="F139">
        <v>614792</v>
      </c>
      <c r="G139" t="s">
        <v>354</v>
      </c>
      <c r="H139" t="s">
        <v>355</v>
      </c>
      <c r="I139" t="s">
        <v>1033</v>
      </c>
      <c r="J139" t="b">
        <v>1</v>
      </c>
      <c r="K139" t="b">
        <v>1</v>
      </c>
      <c r="L139" t="b">
        <v>0</v>
      </c>
      <c r="N139" t="s">
        <v>896</v>
      </c>
      <c r="O139">
        <v>1</v>
      </c>
      <c r="Q139" t="s">
        <v>848</v>
      </c>
      <c r="R139" t="s">
        <v>895</v>
      </c>
      <c r="S139">
        <v>3</v>
      </c>
      <c r="T139" t="s">
        <v>1187</v>
      </c>
      <c r="U139" s="18"/>
      <c r="V139" t="b">
        <f>IF(AND(Table_Trailer_Restock_JSON[[#This Row],[Is Geo Trailer Stock]]=FALSE,Table_Trailer_Restock_JSON[[#This Row],[Is Geo Case Stock]]=FALSE),FALSE,TRUE)</f>
        <v>1</v>
      </c>
    </row>
    <row r="140" spans="1:22" x14ac:dyDescent="0.45">
      <c r="A140">
        <v>138</v>
      </c>
      <c r="B140" t="s">
        <v>360</v>
      </c>
      <c r="E140" t="s">
        <v>40</v>
      </c>
      <c r="F140" t="s">
        <v>362</v>
      </c>
      <c r="G140" t="s">
        <v>363</v>
      </c>
      <c r="H140" t="s">
        <v>363</v>
      </c>
      <c r="I140" t="s">
        <v>1034</v>
      </c>
      <c r="J140" t="b">
        <v>1</v>
      </c>
      <c r="K140" t="b">
        <v>1</v>
      </c>
      <c r="L140" t="b">
        <v>0</v>
      </c>
      <c r="N140" t="s">
        <v>896</v>
      </c>
      <c r="O140" t="s">
        <v>1035</v>
      </c>
      <c r="P140" t="s">
        <v>446</v>
      </c>
      <c r="Q140" t="s">
        <v>848</v>
      </c>
      <c r="R140" t="s">
        <v>895</v>
      </c>
      <c r="S140">
        <v>4</v>
      </c>
      <c r="T140" t="s">
        <v>1187</v>
      </c>
      <c r="U140" s="18"/>
      <c r="V140" t="b">
        <f>IF(AND(Table_Trailer_Restock_JSON[[#This Row],[Is Geo Trailer Stock]]=FALSE,Table_Trailer_Restock_JSON[[#This Row],[Is Geo Case Stock]]=FALSE),FALSE,TRUE)</f>
        <v>1</v>
      </c>
    </row>
    <row r="141" spans="1:22" x14ac:dyDescent="0.45">
      <c r="A141">
        <v>139</v>
      </c>
      <c r="B141" t="s">
        <v>364</v>
      </c>
      <c r="E141" t="s">
        <v>29</v>
      </c>
      <c r="F141">
        <v>455875</v>
      </c>
      <c r="G141" t="s">
        <v>363</v>
      </c>
      <c r="H141" t="s">
        <v>363</v>
      </c>
      <c r="I141" t="s">
        <v>1036</v>
      </c>
      <c r="J141" t="b">
        <v>1</v>
      </c>
      <c r="K141" t="b">
        <v>1</v>
      </c>
      <c r="L141" t="b">
        <v>0</v>
      </c>
      <c r="N141" t="s">
        <v>896</v>
      </c>
      <c r="O141" t="s">
        <v>1037</v>
      </c>
      <c r="P141" t="s">
        <v>446</v>
      </c>
      <c r="Q141" t="s">
        <v>848</v>
      </c>
      <c r="R141" t="s">
        <v>895</v>
      </c>
      <c r="S141">
        <v>5</v>
      </c>
      <c r="T141" t="s">
        <v>1187</v>
      </c>
      <c r="U141" s="18"/>
      <c r="V141" t="b">
        <f>IF(AND(Table_Trailer_Restock_JSON[[#This Row],[Is Geo Trailer Stock]]=FALSE,Table_Trailer_Restock_JSON[[#This Row],[Is Geo Case Stock]]=FALSE),FALSE,TRUE)</f>
        <v>1</v>
      </c>
    </row>
    <row r="142" spans="1:22" x14ac:dyDescent="0.45">
      <c r="A142">
        <v>140</v>
      </c>
      <c r="B142" t="s">
        <v>366</v>
      </c>
      <c r="E142" t="s">
        <v>29</v>
      </c>
      <c r="F142">
        <v>68579201</v>
      </c>
      <c r="G142" t="s">
        <v>363</v>
      </c>
      <c r="H142" t="s">
        <v>363</v>
      </c>
      <c r="I142" t="s">
        <v>1038</v>
      </c>
      <c r="J142" t="b">
        <v>1</v>
      </c>
      <c r="K142" t="b">
        <v>1</v>
      </c>
      <c r="L142" t="b">
        <v>0</v>
      </c>
      <c r="N142" t="s">
        <v>896</v>
      </c>
      <c r="O142" t="s">
        <v>1037</v>
      </c>
      <c r="P142" t="s">
        <v>446</v>
      </c>
      <c r="Q142" t="s">
        <v>848</v>
      </c>
      <c r="R142" t="s">
        <v>895</v>
      </c>
      <c r="S142">
        <v>6</v>
      </c>
      <c r="T142" t="s">
        <v>1187</v>
      </c>
      <c r="U142" s="18"/>
      <c r="V142" t="b">
        <f>IF(AND(Table_Trailer_Restock_JSON[[#This Row],[Is Geo Trailer Stock]]=FALSE,Table_Trailer_Restock_JSON[[#This Row],[Is Geo Case Stock]]=FALSE),FALSE,TRUE)</f>
        <v>1</v>
      </c>
    </row>
    <row r="143" spans="1:22" x14ac:dyDescent="0.45">
      <c r="A143">
        <v>141</v>
      </c>
      <c r="B143" t="s">
        <v>368</v>
      </c>
      <c r="E143" t="s">
        <v>40</v>
      </c>
      <c r="F143">
        <v>47104807</v>
      </c>
      <c r="G143" t="s">
        <v>363</v>
      </c>
      <c r="H143" t="s">
        <v>363</v>
      </c>
      <c r="I143" t="s">
        <v>1039</v>
      </c>
      <c r="J143" t="b">
        <v>1</v>
      </c>
      <c r="K143" t="b">
        <v>1</v>
      </c>
      <c r="L143" t="b">
        <v>0</v>
      </c>
      <c r="N143" t="s">
        <v>896</v>
      </c>
      <c r="O143" t="s">
        <v>1040</v>
      </c>
      <c r="P143" t="s">
        <v>1041</v>
      </c>
      <c r="Q143" t="s">
        <v>848</v>
      </c>
      <c r="R143" t="s">
        <v>895</v>
      </c>
      <c r="S143">
        <v>7</v>
      </c>
      <c r="T143" t="s">
        <v>1187</v>
      </c>
      <c r="U143" s="18"/>
      <c r="V143" t="b">
        <f>IF(AND(Table_Trailer_Restock_JSON[[#This Row],[Is Geo Trailer Stock]]=FALSE,Table_Trailer_Restock_JSON[[#This Row],[Is Geo Case Stock]]=FALSE),FALSE,TRUE)</f>
        <v>1</v>
      </c>
    </row>
    <row r="144" spans="1:22" x14ac:dyDescent="0.45">
      <c r="A144">
        <v>142</v>
      </c>
      <c r="B144" t="s">
        <v>370</v>
      </c>
      <c r="E144" t="s">
        <v>40</v>
      </c>
      <c r="F144">
        <v>47120307</v>
      </c>
      <c r="G144" t="s">
        <v>363</v>
      </c>
      <c r="H144" t="s">
        <v>363</v>
      </c>
      <c r="I144" t="s">
        <v>1042</v>
      </c>
      <c r="J144" t="b">
        <v>1</v>
      </c>
      <c r="K144" t="b">
        <v>1</v>
      </c>
      <c r="L144" t="b">
        <v>0</v>
      </c>
      <c r="N144" t="s">
        <v>896</v>
      </c>
      <c r="O144" t="s">
        <v>1040</v>
      </c>
      <c r="P144" t="s">
        <v>1041</v>
      </c>
      <c r="Q144" t="s">
        <v>848</v>
      </c>
      <c r="R144" t="s">
        <v>895</v>
      </c>
      <c r="S144">
        <v>8</v>
      </c>
      <c r="T144" t="s">
        <v>1187</v>
      </c>
      <c r="U144" s="18"/>
      <c r="V144" t="b">
        <f>IF(AND(Table_Trailer_Restock_JSON[[#This Row],[Is Geo Trailer Stock]]=FALSE,Table_Trailer_Restock_JSON[[#This Row],[Is Geo Case Stock]]=FALSE),FALSE,TRUE)</f>
        <v>1</v>
      </c>
    </row>
    <row r="145" spans="1:22" x14ac:dyDescent="0.45">
      <c r="A145">
        <v>143</v>
      </c>
      <c r="B145" t="s">
        <v>372</v>
      </c>
      <c r="E145" t="s">
        <v>40</v>
      </c>
      <c r="F145">
        <v>47140307</v>
      </c>
      <c r="G145" t="s">
        <v>363</v>
      </c>
      <c r="H145" t="s">
        <v>363</v>
      </c>
      <c r="I145" t="s">
        <v>1043</v>
      </c>
      <c r="J145" t="b">
        <v>1</v>
      </c>
      <c r="K145" t="b">
        <v>1</v>
      </c>
      <c r="L145" t="b">
        <v>0</v>
      </c>
      <c r="N145" t="s">
        <v>896</v>
      </c>
      <c r="O145" t="s">
        <v>1040</v>
      </c>
      <c r="P145" t="s">
        <v>1041</v>
      </c>
      <c r="Q145" t="s">
        <v>848</v>
      </c>
      <c r="R145" t="s">
        <v>895</v>
      </c>
      <c r="S145">
        <v>9</v>
      </c>
      <c r="T145" t="s">
        <v>1187</v>
      </c>
      <c r="U145" s="18"/>
      <c r="V145" t="b">
        <f>IF(AND(Table_Trailer_Restock_JSON[[#This Row],[Is Geo Trailer Stock]]=FALSE,Table_Trailer_Restock_JSON[[#This Row],[Is Geo Case Stock]]=FALSE),FALSE,TRUE)</f>
        <v>1</v>
      </c>
    </row>
    <row r="146" spans="1:22" x14ac:dyDescent="0.45">
      <c r="A146">
        <v>144</v>
      </c>
      <c r="B146" t="s">
        <v>374</v>
      </c>
      <c r="E146" t="s">
        <v>29</v>
      </c>
      <c r="G146">
        <v>6</v>
      </c>
      <c r="H146">
        <v>3</v>
      </c>
      <c r="I146" t="s">
        <v>1044</v>
      </c>
      <c r="J146" t="b">
        <v>1</v>
      </c>
      <c r="K146" t="b">
        <v>1</v>
      </c>
      <c r="L146" t="b">
        <v>0</v>
      </c>
      <c r="N146" t="s">
        <v>375</v>
      </c>
      <c r="O146">
        <v>1</v>
      </c>
      <c r="Q146" t="s">
        <v>848</v>
      </c>
      <c r="R146" t="s">
        <v>898</v>
      </c>
      <c r="S146">
        <v>1</v>
      </c>
      <c r="T146" t="s">
        <v>1188</v>
      </c>
      <c r="U146" s="18"/>
      <c r="V146" t="b">
        <f>IF(AND(Table_Trailer_Restock_JSON[[#This Row],[Is Geo Trailer Stock]]=FALSE,Table_Trailer_Restock_JSON[[#This Row],[Is Geo Case Stock]]=FALSE),FALSE,TRUE)</f>
        <v>1</v>
      </c>
    </row>
    <row r="147" spans="1:22" x14ac:dyDescent="0.45">
      <c r="A147">
        <v>145</v>
      </c>
      <c r="B147" t="s">
        <v>376</v>
      </c>
      <c r="E147" t="s">
        <v>40</v>
      </c>
      <c r="F147" t="s">
        <v>378</v>
      </c>
      <c r="G147">
        <v>5</v>
      </c>
      <c r="H147">
        <v>5</v>
      </c>
      <c r="I147" t="s">
        <v>1045</v>
      </c>
      <c r="J147" t="b">
        <v>1</v>
      </c>
      <c r="K147" t="b">
        <v>1</v>
      </c>
      <c r="L147" t="b">
        <v>0</v>
      </c>
      <c r="N147" t="s">
        <v>375</v>
      </c>
      <c r="O147">
        <v>1</v>
      </c>
      <c r="P147">
        <v>1</v>
      </c>
      <c r="Q147" t="s">
        <v>848</v>
      </c>
      <c r="R147" t="s">
        <v>898</v>
      </c>
      <c r="S147">
        <v>2</v>
      </c>
      <c r="T147" t="s">
        <v>1188</v>
      </c>
      <c r="U147" s="18"/>
      <c r="V147" t="b">
        <f>IF(AND(Table_Trailer_Restock_JSON[[#This Row],[Is Geo Trailer Stock]]=FALSE,Table_Trailer_Restock_JSON[[#This Row],[Is Geo Case Stock]]=FALSE),FALSE,TRUE)</f>
        <v>1</v>
      </c>
    </row>
    <row r="148" spans="1:22" x14ac:dyDescent="0.45">
      <c r="A148">
        <v>146</v>
      </c>
      <c r="B148" t="s">
        <v>379</v>
      </c>
      <c r="E148" t="s">
        <v>40</v>
      </c>
      <c r="F148" t="s">
        <v>381</v>
      </c>
      <c r="G148">
        <v>5</v>
      </c>
      <c r="H148">
        <v>5</v>
      </c>
      <c r="I148" t="s">
        <v>1046</v>
      </c>
      <c r="J148" t="b">
        <v>1</v>
      </c>
      <c r="K148" t="b">
        <v>1</v>
      </c>
      <c r="L148" t="b">
        <v>0</v>
      </c>
      <c r="N148" t="s">
        <v>375</v>
      </c>
      <c r="O148">
        <v>1</v>
      </c>
      <c r="P148">
        <v>1</v>
      </c>
      <c r="Q148" t="s">
        <v>848</v>
      </c>
      <c r="R148" t="s">
        <v>898</v>
      </c>
      <c r="S148">
        <v>3</v>
      </c>
      <c r="T148" t="s">
        <v>1188</v>
      </c>
      <c r="U148" s="18"/>
      <c r="V148" t="b">
        <f>IF(AND(Table_Trailer_Restock_JSON[[#This Row],[Is Geo Trailer Stock]]=FALSE,Table_Trailer_Restock_JSON[[#This Row],[Is Geo Case Stock]]=FALSE),FALSE,TRUE)</f>
        <v>1</v>
      </c>
    </row>
    <row r="149" spans="1:22" x14ac:dyDescent="0.45">
      <c r="A149">
        <v>149</v>
      </c>
      <c r="B149" t="s">
        <v>388</v>
      </c>
      <c r="E149" t="s">
        <v>391</v>
      </c>
      <c r="F149" t="s">
        <v>392</v>
      </c>
      <c r="G149">
        <v>100</v>
      </c>
      <c r="H149">
        <v>100</v>
      </c>
      <c r="I149" t="s">
        <v>1049</v>
      </c>
      <c r="J149" t="b">
        <v>1</v>
      </c>
      <c r="K149" t="b">
        <v>1</v>
      </c>
      <c r="L149" t="b">
        <v>0</v>
      </c>
      <c r="N149" t="s">
        <v>901</v>
      </c>
      <c r="O149">
        <v>36</v>
      </c>
      <c r="P149">
        <v>12</v>
      </c>
      <c r="Q149" t="s">
        <v>848</v>
      </c>
      <c r="R149" t="s">
        <v>900</v>
      </c>
      <c r="S149">
        <v>1</v>
      </c>
      <c r="T149" t="s">
        <v>1189</v>
      </c>
      <c r="U149" s="18"/>
      <c r="V149" t="b">
        <f>IF(AND(Table_Trailer_Restock_JSON[[#This Row],[Is Geo Trailer Stock]]=FALSE,Table_Trailer_Restock_JSON[[#This Row],[Is Geo Case Stock]]=FALSE),FALSE,TRUE)</f>
        <v>1</v>
      </c>
    </row>
    <row r="150" spans="1:22" x14ac:dyDescent="0.45">
      <c r="A150">
        <v>150</v>
      </c>
      <c r="B150" t="s">
        <v>393</v>
      </c>
      <c r="E150" t="s">
        <v>40</v>
      </c>
      <c r="F150" t="s">
        <v>395</v>
      </c>
      <c r="G150">
        <v>20</v>
      </c>
      <c r="H150">
        <v>8</v>
      </c>
      <c r="I150" t="s">
        <v>1050</v>
      </c>
      <c r="J150" t="b">
        <v>1</v>
      </c>
      <c r="K150" t="b">
        <v>1</v>
      </c>
      <c r="L150" t="b">
        <v>0</v>
      </c>
      <c r="N150" t="s">
        <v>901</v>
      </c>
      <c r="O150">
        <v>4</v>
      </c>
      <c r="P150">
        <v>2</v>
      </c>
      <c r="Q150" t="s">
        <v>848</v>
      </c>
      <c r="R150" t="s">
        <v>900</v>
      </c>
      <c r="S150">
        <v>2</v>
      </c>
      <c r="T150" t="s">
        <v>1189</v>
      </c>
      <c r="U150" s="18"/>
      <c r="V150" t="b">
        <f>IF(AND(Table_Trailer_Restock_JSON[[#This Row],[Is Geo Trailer Stock]]=FALSE,Table_Trailer_Restock_JSON[[#This Row],[Is Geo Case Stock]]=FALSE),FALSE,TRUE)</f>
        <v>1</v>
      </c>
    </row>
    <row r="151" spans="1:22" x14ac:dyDescent="0.45">
      <c r="A151">
        <v>147</v>
      </c>
      <c r="B151" t="s">
        <v>382</v>
      </c>
      <c r="E151" t="s">
        <v>40</v>
      </c>
      <c r="F151" t="s">
        <v>386</v>
      </c>
      <c r="G151">
        <v>4</v>
      </c>
      <c r="H151">
        <v>4</v>
      </c>
      <c r="I151" t="s">
        <v>1047</v>
      </c>
      <c r="J151" t="b">
        <v>1</v>
      </c>
      <c r="K151" t="b">
        <v>1</v>
      </c>
      <c r="L151" t="b">
        <v>0</v>
      </c>
      <c r="N151" t="s">
        <v>904</v>
      </c>
      <c r="O151">
        <v>2</v>
      </c>
      <c r="P151">
        <v>1</v>
      </c>
      <c r="Q151" t="s">
        <v>848</v>
      </c>
      <c r="R151" t="s">
        <v>903</v>
      </c>
      <c r="S151">
        <v>1</v>
      </c>
      <c r="T151" t="s">
        <v>1190</v>
      </c>
      <c r="U151" s="18"/>
      <c r="V151" t="b">
        <f>IF(AND(Table_Trailer_Restock_JSON[[#This Row],[Is Geo Trailer Stock]]=FALSE,Table_Trailer_Restock_JSON[[#This Row],[Is Geo Case Stock]]=FALSE),FALSE,TRUE)</f>
        <v>1</v>
      </c>
    </row>
    <row r="152" spans="1:22" x14ac:dyDescent="0.45">
      <c r="A152">
        <v>148</v>
      </c>
      <c r="B152" t="s">
        <v>387</v>
      </c>
      <c r="E152" t="s">
        <v>29</v>
      </c>
      <c r="F152">
        <v>100063067</v>
      </c>
      <c r="G152">
        <v>4</v>
      </c>
      <c r="H152">
        <v>4</v>
      </c>
      <c r="I152" t="s">
        <v>1048</v>
      </c>
      <c r="J152" t="b">
        <v>1</v>
      </c>
      <c r="K152" t="b">
        <v>1</v>
      </c>
      <c r="L152" t="b">
        <v>0</v>
      </c>
      <c r="N152" t="s">
        <v>904</v>
      </c>
      <c r="O152">
        <v>1</v>
      </c>
      <c r="Q152" t="s">
        <v>848</v>
      </c>
      <c r="R152" t="s">
        <v>903</v>
      </c>
      <c r="S152">
        <v>2</v>
      </c>
      <c r="T152" t="s">
        <v>1190</v>
      </c>
      <c r="U152" s="18"/>
      <c r="V152" t="b">
        <f>IF(AND(Table_Trailer_Restock_JSON[[#This Row],[Is Geo Trailer Stock]]=FALSE,Table_Trailer_Restock_JSON[[#This Row],[Is Geo Case Stock]]=FALSE),FALSE,TRUE)</f>
        <v>1</v>
      </c>
    </row>
    <row r="153" spans="1:22" x14ac:dyDescent="0.45">
      <c r="A153">
        <v>151</v>
      </c>
      <c r="B153" t="s">
        <v>396</v>
      </c>
      <c r="E153" t="s">
        <v>391</v>
      </c>
      <c r="F153" t="s">
        <v>398</v>
      </c>
      <c r="G153">
        <v>20</v>
      </c>
      <c r="H153">
        <v>20</v>
      </c>
      <c r="I153" t="s">
        <v>1051</v>
      </c>
      <c r="J153" t="b">
        <v>1</v>
      </c>
      <c r="K153" t="b">
        <v>1</v>
      </c>
      <c r="L153" t="b">
        <v>0</v>
      </c>
      <c r="N153" t="s">
        <v>907</v>
      </c>
      <c r="O153">
        <v>16</v>
      </c>
      <c r="P153">
        <v>8</v>
      </c>
      <c r="Q153" t="s">
        <v>848</v>
      </c>
      <c r="R153" t="s">
        <v>906</v>
      </c>
      <c r="S153">
        <v>1</v>
      </c>
      <c r="T153" t="s">
        <v>1191</v>
      </c>
      <c r="U153" s="18"/>
      <c r="V153" t="b">
        <f>IF(AND(Table_Trailer_Restock_JSON[[#This Row],[Is Geo Trailer Stock]]=FALSE,Table_Trailer_Restock_JSON[[#This Row],[Is Geo Case Stock]]=FALSE),FALSE,TRUE)</f>
        <v>1</v>
      </c>
    </row>
    <row r="154" spans="1:22" x14ac:dyDescent="0.45">
      <c r="A154">
        <v>152</v>
      </c>
      <c r="B154" t="s">
        <v>399</v>
      </c>
      <c r="E154" t="s">
        <v>391</v>
      </c>
      <c r="F154" t="s">
        <v>400</v>
      </c>
      <c r="G154">
        <v>50</v>
      </c>
      <c r="H154">
        <v>50</v>
      </c>
      <c r="I154" t="s">
        <v>1052</v>
      </c>
      <c r="J154" t="b">
        <v>1</v>
      </c>
      <c r="K154" t="b">
        <v>1</v>
      </c>
      <c r="L154" t="b">
        <v>0</v>
      </c>
      <c r="N154" t="s">
        <v>907</v>
      </c>
      <c r="O154">
        <v>16</v>
      </c>
      <c r="P154">
        <v>8</v>
      </c>
      <c r="Q154" t="s">
        <v>848</v>
      </c>
      <c r="R154" t="s">
        <v>906</v>
      </c>
      <c r="S154">
        <v>2</v>
      </c>
      <c r="T154" t="s">
        <v>1191</v>
      </c>
      <c r="U154" s="18"/>
      <c r="V154" t="b">
        <f>IF(AND(Table_Trailer_Restock_JSON[[#This Row],[Is Geo Trailer Stock]]=FALSE,Table_Trailer_Restock_JSON[[#This Row],[Is Geo Case Stock]]=FALSE),FALSE,TRUE)</f>
        <v>1</v>
      </c>
    </row>
    <row r="155" spans="1:22" x14ac:dyDescent="0.45">
      <c r="A155">
        <v>153</v>
      </c>
      <c r="B155" t="s">
        <v>401</v>
      </c>
      <c r="E155" t="s">
        <v>391</v>
      </c>
      <c r="F155" t="s">
        <v>402</v>
      </c>
      <c r="G155">
        <v>100</v>
      </c>
      <c r="H155">
        <v>100</v>
      </c>
      <c r="I155" t="s">
        <v>1053</v>
      </c>
      <c r="J155" t="b">
        <v>1</v>
      </c>
      <c r="K155" t="b">
        <v>1</v>
      </c>
      <c r="L155" t="b">
        <v>0</v>
      </c>
      <c r="N155" t="s">
        <v>907</v>
      </c>
      <c r="O155">
        <v>30</v>
      </c>
      <c r="P155">
        <v>12</v>
      </c>
      <c r="Q155" t="s">
        <v>848</v>
      </c>
      <c r="R155" t="s">
        <v>906</v>
      </c>
      <c r="S155">
        <v>3</v>
      </c>
      <c r="T155" t="s">
        <v>1191</v>
      </c>
      <c r="U155" s="18"/>
      <c r="V155" t="b">
        <f>IF(AND(Table_Trailer_Restock_JSON[[#This Row],[Is Geo Trailer Stock]]=FALSE,Table_Trailer_Restock_JSON[[#This Row],[Is Geo Case Stock]]=FALSE),FALSE,TRUE)</f>
        <v>1</v>
      </c>
    </row>
    <row r="156" spans="1:22" x14ac:dyDescent="0.45">
      <c r="A156">
        <v>154</v>
      </c>
      <c r="B156" t="s">
        <v>403</v>
      </c>
      <c r="E156" t="s">
        <v>391</v>
      </c>
      <c r="F156" t="s">
        <v>404</v>
      </c>
      <c r="G156">
        <v>20</v>
      </c>
      <c r="H156">
        <v>10</v>
      </c>
      <c r="I156" t="s">
        <v>1054</v>
      </c>
      <c r="J156" t="b">
        <v>1</v>
      </c>
      <c r="K156" t="b">
        <v>1</v>
      </c>
      <c r="L156" t="b">
        <v>0</v>
      </c>
      <c r="N156" t="s">
        <v>907</v>
      </c>
      <c r="O156">
        <v>30</v>
      </c>
      <c r="P156">
        <v>12</v>
      </c>
      <c r="Q156" t="s">
        <v>848</v>
      </c>
      <c r="R156" t="s">
        <v>906</v>
      </c>
      <c r="S156">
        <v>4</v>
      </c>
      <c r="T156" t="s">
        <v>1191</v>
      </c>
      <c r="U156" s="18"/>
      <c r="V156" t="b">
        <f>IF(AND(Table_Trailer_Restock_JSON[[#This Row],[Is Geo Trailer Stock]]=FALSE,Table_Trailer_Restock_JSON[[#This Row],[Is Geo Case Stock]]=FALSE),FALSE,TRUE)</f>
        <v>1</v>
      </c>
    </row>
    <row r="157" spans="1:22" x14ac:dyDescent="0.45">
      <c r="A157">
        <v>155</v>
      </c>
      <c r="B157" t="s">
        <v>405</v>
      </c>
      <c r="E157" t="s">
        <v>406</v>
      </c>
      <c r="F157" t="s">
        <v>407</v>
      </c>
      <c r="G157" t="s">
        <v>408</v>
      </c>
      <c r="H157" t="s">
        <v>408</v>
      </c>
      <c r="I157" t="s">
        <v>1055</v>
      </c>
      <c r="J157" t="b">
        <v>1</v>
      </c>
      <c r="K157" t="b">
        <v>1</v>
      </c>
      <c r="L157" t="b">
        <v>0</v>
      </c>
      <c r="N157" t="s">
        <v>907</v>
      </c>
      <c r="O157">
        <v>2</v>
      </c>
      <c r="Q157" t="s">
        <v>848</v>
      </c>
      <c r="R157" t="s">
        <v>906</v>
      </c>
      <c r="S157">
        <v>5</v>
      </c>
      <c r="T157" t="s">
        <v>1191</v>
      </c>
      <c r="U157" s="18"/>
      <c r="V157" t="b">
        <f>IF(AND(Table_Trailer_Restock_JSON[[#This Row],[Is Geo Trailer Stock]]=FALSE,Table_Trailer_Restock_JSON[[#This Row],[Is Geo Case Stock]]=FALSE),FALSE,TRUE)</f>
        <v>1</v>
      </c>
    </row>
    <row r="158" spans="1:22" x14ac:dyDescent="0.45">
      <c r="A158">
        <v>156</v>
      </c>
      <c r="B158" t="s">
        <v>409</v>
      </c>
      <c r="E158" t="s">
        <v>391</v>
      </c>
      <c r="F158" t="s">
        <v>411</v>
      </c>
      <c r="G158">
        <v>6</v>
      </c>
      <c r="H158">
        <v>4</v>
      </c>
      <c r="I158" t="s">
        <v>1056</v>
      </c>
      <c r="J158" t="b">
        <v>1</v>
      </c>
      <c r="K158" t="b">
        <v>1</v>
      </c>
      <c r="L158" t="b">
        <v>0</v>
      </c>
      <c r="N158" t="s">
        <v>907</v>
      </c>
      <c r="O158">
        <v>2</v>
      </c>
      <c r="Q158" t="s">
        <v>848</v>
      </c>
      <c r="R158" t="s">
        <v>906</v>
      </c>
      <c r="S158">
        <v>6</v>
      </c>
      <c r="T158" t="s">
        <v>1191</v>
      </c>
      <c r="U158" s="18"/>
      <c r="V158" t="b">
        <f>IF(AND(Table_Trailer_Restock_JSON[[#This Row],[Is Geo Trailer Stock]]=FALSE,Table_Trailer_Restock_JSON[[#This Row],[Is Geo Case Stock]]=FALSE),FALSE,TRUE)</f>
        <v>1</v>
      </c>
    </row>
    <row r="159" spans="1:22" x14ac:dyDescent="0.45">
      <c r="A159">
        <v>157</v>
      </c>
      <c r="B159" t="s">
        <v>412</v>
      </c>
      <c r="E159" t="s">
        <v>391</v>
      </c>
      <c r="F159" t="s">
        <v>413</v>
      </c>
      <c r="G159">
        <v>20</v>
      </c>
      <c r="H159">
        <v>20</v>
      </c>
      <c r="I159" t="s">
        <v>1057</v>
      </c>
      <c r="J159" t="b">
        <v>1</v>
      </c>
      <c r="K159" t="b">
        <v>1</v>
      </c>
      <c r="L159" t="b">
        <v>0</v>
      </c>
      <c r="N159" t="s">
        <v>907</v>
      </c>
      <c r="O159">
        <v>12</v>
      </c>
      <c r="P159">
        <v>6</v>
      </c>
      <c r="Q159" t="s">
        <v>848</v>
      </c>
      <c r="R159" t="s">
        <v>906</v>
      </c>
      <c r="S159">
        <v>7</v>
      </c>
      <c r="T159" t="s">
        <v>1191</v>
      </c>
      <c r="U159" s="18"/>
      <c r="V159" t="b">
        <f>IF(AND(Table_Trailer_Restock_JSON[[#This Row],[Is Geo Trailer Stock]]=FALSE,Table_Trailer_Restock_JSON[[#This Row],[Is Geo Case Stock]]=FALSE),FALSE,TRUE)</f>
        <v>1</v>
      </c>
    </row>
    <row r="160" spans="1:22" x14ac:dyDescent="0.45">
      <c r="A160">
        <v>158</v>
      </c>
      <c r="B160" t="s">
        <v>414</v>
      </c>
      <c r="E160" t="s">
        <v>391</v>
      </c>
      <c r="F160" t="s">
        <v>416</v>
      </c>
      <c r="G160">
        <v>50</v>
      </c>
      <c r="H160">
        <v>50</v>
      </c>
      <c r="I160" t="s">
        <v>1058</v>
      </c>
      <c r="J160" t="b">
        <v>1</v>
      </c>
      <c r="K160" t="b">
        <v>1</v>
      </c>
      <c r="L160" t="b">
        <v>0</v>
      </c>
      <c r="N160" t="s">
        <v>907</v>
      </c>
      <c r="O160">
        <v>20</v>
      </c>
      <c r="P160">
        <v>10</v>
      </c>
      <c r="Q160" t="s">
        <v>848</v>
      </c>
      <c r="R160" t="s">
        <v>906</v>
      </c>
      <c r="S160">
        <v>8</v>
      </c>
      <c r="T160" t="s">
        <v>1191</v>
      </c>
      <c r="U160" s="18"/>
      <c r="V160" t="b">
        <f>IF(AND(Table_Trailer_Restock_JSON[[#This Row],[Is Geo Trailer Stock]]=FALSE,Table_Trailer_Restock_JSON[[#This Row],[Is Geo Case Stock]]=FALSE),FALSE,TRUE)</f>
        <v>1</v>
      </c>
    </row>
    <row r="161" spans="1:22" x14ac:dyDescent="0.45">
      <c r="A161">
        <v>159</v>
      </c>
      <c r="B161" t="s">
        <v>417</v>
      </c>
      <c r="E161" t="s">
        <v>418</v>
      </c>
      <c r="F161" t="s">
        <v>419</v>
      </c>
      <c r="G161">
        <v>10</v>
      </c>
      <c r="H161">
        <v>10</v>
      </c>
      <c r="I161" t="s">
        <v>1059</v>
      </c>
      <c r="J161" t="b">
        <v>1</v>
      </c>
      <c r="K161" t="b">
        <v>1</v>
      </c>
      <c r="L161" t="b">
        <v>0</v>
      </c>
      <c r="N161" t="s">
        <v>907</v>
      </c>
      <c r="O161">
        <v>20</v>
      </c>
      <c r="P161">
        <v>10</v>
      </c>
      <c r="Q161" t="s">
        <v>848</v>
      </c>
      <c r="R161" t="s">
        <v>906</v>
      </c>
      <c r="S161">
        <v>9</v>
      </c>
      <c r="T161" t="s">
        <v>1191</v>
      </c>
      <c r="U161" s="18"/>
      <c r="V161" t="b">
        <f>IF(AND(Table_Trailer_Restock_JSON[[#This Row],[Is Geo Trailer Stock]]=FALSE,Table_Trailer_Restock_JSON[[#This Row],[Is Geo Case Stock]]=FALSE),FALSE,TRUE)</f>
        <v>1</v>
      </c>
    </row>
    <row r="162" spans="1:22" x14ac:dyDescent="0.45">
      <c r="A162">
        <v>160</v>
      </c>
      <c r="B162" t="s">
        <v>420</v>
      </c>
      <c r="E162" t="s">
        <v>391</v>
      </c>
      <c r="F162" t="s">
        <v>421</v>
      </c>
      <c r="G162">
        <v>20</v>
      </c>
      <c r="H162">
        <v>10</v>
      </c>
      <c r="I162" t="s">
        <v>1060</v>
      </c>
      <c r="J162" t="b">
        <v>1</v>
      </c>
      <c r="K162" t="b">
        <v>1</v>
      </c>
      <c r="L162" t="b">
        <v>0</v>
      </c>
      <c r="N162" t="s">
        <v>907</v>
      </c>
      <c r="O162">
        <v>6</v>
      </c>
      <c r="P162">
        <v>4</v>
      </c>
      <c r="Q162" t="s">
        <v>848</v>
      </c>
      <c r="R162" t="s">
        <v>906</v>
      </c>
      <c r="S162">
        <v>10</v>
      </c>
      <c r="T162" t="s">
        <v>1191</v>
      </c>
      <c r="U162" s="18"/>
      <c r="V162" t="b">
        <f>IF(AND(Table_Trailer_Restock_JSON[[#This Row],[Is Geo Trailer Stock]]=FALSE,Table_Trailer_Restock_JSON[[#This Row],[Is Geo Case Stock]]=FALSE),FALSE,TRUE)</f>
        <v>1</v>
      </c>
    </row>
    <row r="163" spans="1:22" x14ac:dyDescent="0.45">
      <c r="A163">
        <v>161</v>
      </c>
      <c r="B163" t="s">
        <v>422</v>
      </c>
      <c r="E163" t="s">
        <v>391</v>
      </c>
      <c r="F163" t="s">
        <v>424</v>
      </c>
      <c r="G163">
        <v>40</v>
      </c>
      <c r="H163">
        <v>20</v>
      </c>
      <c r="I163" t="s">
        <v>1061</v>
      </c>
      <c r="J163" t="b">
        <v>1</v>
      </c>
      <c r="K163" t="b">
        <v>1</v>
      </c>
      <c r="L163" t="b">
        <v>0</v>
      </c>
      <c r="N163" t="s">
        <v>907</v>
      </c>
      <c r="O163">
        <v>10</v>
      </c>
      <c r="P163">
        <v>4</v>
      </c>
      <c r="Q163" t="s">
        <v>848</v>
      </c>
      <c r="R163" t="s">
        <v>906</v>
      </c>
      <c r="S163">
        <v>11</v>
      </c>
      <c r="T163" t="s">
        <v>1191</v>
      </c>
      <c r="U163" s="18"/>
      <c r="V163" t="b">
        <f>IF(AND(Table_Trailer_Restock_JSON[[#This Row],[Is Geo Trailer Stock]]=FALSE,Table_Trailer_Restock_JSON[[#This Row],[Is Geo Case Stock]]=FALSE),FALSE,TRUE)</f>
        <v>1</v>
      </c>
    </row>
    <row r="164" spans="1:22" x14ac:dyDescent="0.45">
      <c r="A164">
        <v>162</v>
      </c>
      <c r="B164" t="s">
        <v>425</v>
      </c>
      <c r="E164" t="s">
        <v>391</v>
      </c>
      <c r="F164" t="s">
        <v>427</v>
      </c>
      <c r="G164">
        <v>20</v>
      </c>
      <c r="H164">
        <v>8</v>
      </c>
      <c r="I164" t="s">
        <v>1062</v>
      </c>
      <c r="J164" t="b">
        <v>1</v>
      </c>
      <c r="K164" t="b">
        <v>1</v>
      </c>
      <c r="L164" t="b">
        <v>0</v>
      </c>
      <c r="N164" t="s">
        <v>907</v>
      </c>
      <c r="O164">
        <v>1</v>
      </c>
      <c r="P164">
        <v>1</v>
      </c>
      <c r="Q164" t="s">
        <v>848</v>
      </c>
      <c r="R164" t="s">
        <v>906</v>
      </c>
      <c r="S164">
        <v>12</v>
      </c>
      <c r="T164" t="s">
        <v>1191</v>
      </c>
      <c r="U164" s="18"/>
      <c r="V164" t="b">
        <f>IF(AND(Table_Trailer_Restock_JSON[[#This Row],[Is Geo Trailer Stock]]=FALSE,Table_Trailer_Restock_JSON[[#This Row],[Is Geo Case Stock]]=FALSE),FALSE,TRUE)</f>
        <v>1</v>
      </c>
    </row>
    <row r="165" spans="1:22" x14ac:dyDescent="0.45">
      <c r="A165">
        <v>163</v>
      </c>
      <c r="B165" t="s">
        <v>429</v>
      </c>
      <c r="E165" t="s">
        <v>391</v>
      </c>
      <c r="F165" t="s">
        <v>430</v>
      </c>
      <c r="G165">
        <v>10</v>
      </c>
      <c r="H165">
        <v>8</v>
      </c>
      <c r="I165" t="s">
        <v>1063</v>
      </c>
      <c r="J165" t="b">
        <v>1</v>
      </c>
      <c r="K165" t="b">
        <v>1</v>
      </c>
      <c r="L165" t="b">
        <v>0</v>
      </c>
      <c r="N165" t="s">
        <v>907</v>
      </c>
      <c r="O165">
        <v>1</v>
      </c>
      <c r="P165">
        <v>1</v>
      </c>
      <c r="Q165" t="s">
        <v>848</v>
      </c>
      <c r="R165" t="s">
        <v>906</v>
      </c>
      <c r="S165">
        <v>13</v>
      </c>
      <c r="T165" t="s">
        <v>1191</v>
      </c>
      <c r="U165" s="18"/>
      <c r="V165" t="b">
        <f>IF(AND(Table_Trailer_Restock_JSON[[#This Row],[Is Geo Trailer Stock]]=FALSE,Table_Trailer_Restock_JSON[[#This Row],[Is Geo Case Stock]]=FALSE),FALSE,TRUE)</f>
        <v>1</v>
      </c>
    </row>
    <row r="166" spans="1:22" x14ac:dyDescent="0.45">
      <c r="A166">
        <v>164</v>
      </c>
      <c r="B166" t="s">
        <v>431</v>
      </c>
      <c r="E166" t="s">
        <v>391</v>
      </c>
      <c r="F166" t="s">
        <v>432</v>
      </c>
      <c r="G166">
        <v>6</v>
      </c>
      <c r="H166">
        <v>6</v>
      </c>
      <c r="I166" t="s">
        <v>1064</v>
      </c>
      <c r="J166" t="b">
        <v>1</v>
      </c>
      <c r="K166" t="b">
        <v>1</v>
      </c>
      <c r="L166" t="b">
        <v>0</v>
      </c>
      <c r="N166" t="s">
        <v>907</v>
      </c>
      <c r="O166">
        <v>1</v>
      </c>
      <c r="P166">
        <v>1</v>
      </c>
      <c r="Q166" t="s">
        <v>848</v>
      </c>
      <c r="R166" t="s">
        <v>906</v>
      </c>
      <c r="S166">
        <v>14</v>
      </c>
      <c r="T166" t="s">
        <v>1191</v>
      </c>
      <c r="U166" s="18"/>
      <c r="V166" t="b">
        <f>IF(AND(Table_Trailer_Restock_JSON[[#This Row],[Is Geo Trailer Stock]]=FALSE,Table_Trailer_Restock_JSON[[#This Row],[Is Geo Case Stock]]=FALSE),FALSE,TRUE)</f>
        <v>1</v>
      </c>
    </row>
    <row r="167" spans="1:22" x14ac:dyDescent="0.45">
      <c r="A167">
        <v>165</v>
      </c>
      <c r="B167" t="s">
        <v>433</v>
      </c>
      <c r="E167" t="s">
        <v>391</v>
      </c>
      <c r="F167" t="s">
        <v>435</v>
      </c>
      <c r="G167">
        <v>40</v>
      </c>
      <c r="H167">
        <v>20</v>
      </c>
      <c r="I167" t="s">
        <v>1065</v>
      </c>
      <c r="J167" t="b">
        <v>1</v>
      </c>
      <c r="K167" t="b">
        <v>1</v>
      </c>
      <c r="L167" t="b">
        <v>0</v>
      </c>
      <c r="N167" t="s">
        <v>434</v>
      </c>
      <c r="O167">
        <v>4</v>
      </c>
      <c r="P167">
        <v>2</v>
      </c>
      <c r="Q167" t="s">
        <v>848</v>
      </c>
      <c r="R167" t="s">
        <v>909</v>
      </c>
      <c r="S167">
        <v>1</v>
      </c>
      <c r="T167" t="s">
        <v>1192</v>
      </c>
      <c r="U167" s="18"/>
      <c r="V167" t="b">
        <f>IF(AND(Table_Trailer_Restock_JSON[[#This Row],[Is Geo Trailer Stock]]=FALSE,Table_Trailer_Restock_JSON[[#This Row],[Is Geo Case Stock]]=FALSE),FALSE,TRUE)</f>
        <v>1</v>
      </c>
    </row>
    <row r="168" spans="1:22" x14ac:dyDescent="0.45">
      <c r="A168">
        <v>166</v>
      </c>
      <c r="B168" t="s">
        <v>436</v>
      </c>
      <c r="E168" t="s">
        <v>391</v>
      </c>
      <c r="F168" t="s">
        <v>438</v>
      </c>
      <c r="G168">
        <v>12</v>
      </c>
      <c r="H168">
        <v>8</v>
      </c>
      <c r="I168" t="s">
        <v>1066</v>
      </c>
      <c r="J168" t="b">
        <v>1</v>
      </c>
      <c r="K168" t="b">
        <v>1</v>
      </c>
      <c r="L168" t="b">
        <v>0</v>
      </c>
      <c r="N168" t="s">
        <v>434</v>
      </c>
      <c r="O168">
        <v>2</v>
      </c>
      <c r="P168">
        <v>1</v>
      </c>
      <c r="Q168" t="s">
        <v>848</v>
      </c>
      <c r="R168" t="s">
        <v>909</v>
      </c>
      <c r="S168">
        <v>2</v>
      </c>
      <c r="T168" t="s">
        <v>1192</v>
      </c>
      <c r="U168" s="18"/>
      <c r="V168" t="b">
        <f>IF(AND(Table_Trailer_Restock_JSON[[#This Row],[Is Geo Trailer Stock]]=FALSE,Table_Trailer_Restock_JSON[[#This Row],[Is Geo Case Stock]]=FALSE),FALSE,TRUE)</f>
        <v>1</v>
      </c>
    </row>
    <row r="169" spans="1:22" x14ac:dyDescent="0.45">
      <c r="A169">
        <v>167</v>
      </c>
      <c r="B169" t="s">
        <v>439</v>
      </c>
      <c r="E169" t="s">
        <v>391</v>
      </c>
      <c r="F169" t="s">
        <v>440</v>
      </c>
      <c r="G169">
        <v>40</v>
      </c>
      <c r="H169">
        <v>20</v>
      </c>
      <c r="I169" t="s">
        <v>1067</v>
      </c>
      <c r="J169" t="b">
        <v>1</v>
      </c>
      <c r="K169" t="b">
        <v>1</v>
      </c>
      <c r="L169" t="b">
        <v>0</v>
      </c>
      <c r="N169" t="s">
        <v>434</v>
      </c>
      <c r="O169">
        <v>4</v>
      </c>
      <c r="P169">
        <v>2</v>
      </c>
      <c r="Q169" t="s">
        <v>848</v>
      </c>
      <c r="R169" t="s">
        <v>909</v>
      </c>
      <c r="S169">
        <v>3</v>
      </c>
      <c r="T169" t="s">
        <v>1192</v>
      </c>
      <c r="U169" s="18"/>
      <c r="V169" t="b">
        <f>IF(AND(Table_Trailer_Restock_JSON[[#This Row],[Is Geo Trailer Stock]]=FALSE,Table_Trailer_Restock_JSON[[#This Row],[Is Geo Case Stock]]=FALSE),FALSE,TRUE)</f>
        <v>1</v>
      </c>
    </row>
    <row r="170" spans="1:22" x14ac:dyDescent="0.45">
      <c r="A170">
        <v>168</v>
      </c>
      <c r="B170" t="s">
        <v>441</v>
      </c>
      <c r="E170" t="s">
        <v>391</v>
      </c>
      <c r="F170" t="s">
        <v>442</v>
      </c>
      <c r="G170">
        <v>12</v>
      </c>
      <c r="H170">
        <v>8</v>
      </c>
      <c r="I170" t="s">
        <v>1068</v>
      </c>
      <c r="J170" t="b">
        <v>1</v>
      </c>
      <c r="K170" t="b">
        <v>1</v>
      </c>
      <c r="L170" t="b">
        <v>0</v>
      </c>
      <c r="N170" t="s">
        <v>434</v>
      </c>
      <c r="O170">
        <v>4</v>
      </c>
      <c r="P170">
        <v>2</v>
      </c>
      <c r="Q170" t="s">
        <v>848</v>
      </c>
      <c r="R170" t="s">
        <v>909</v>
      </c>
      <c r="S170">
        <v>4</v>
      </c>
      <c r="T170" t="s">
        <v>1192</v>
      </c>
      <c r="U170" s="18"/>
      <c r="V170" t="b">
        <f>IF(AND(Table_Trailer_Restock_JSON[[#This Row],[Is Geo Trailer Stock]]=FALSE,Table_Trailer_Restock_JSON[[#This Row],[Is Geo Case Stock]]=FALSE),FALSE,TRUE)</f>
        <v>1</v>
      </c>
    </row>
    <row r="171" spans="1:22" x14ac:dyDescent="0.45">
      <c r="A171">
        <v>169</v>
      </c>
      <c r="B171" t="s">
        <v>443</v>
      </c>
      <c r="E171" t="s">
        <v>391</v>
      </c>
      <c r="F171" t="s">
        <v>444</v>
      </c>
      <c r="G171" t="s">
        <v>445</v>
      </c>
      <c r="H171" t="s">
        <v>446</v>
      </c>
      <c r="I171" t="s">
        <v>1069</v>
      </c>
      <c r="J171" t="b">
        <v>1</v>
      </c>
      <c r="K171" t="b">
        <v>1</v>
      </c>
      <c r="L171" t="b">
        <v>0</v>
      </c>
      <c r="N171" t="s">
        <v>434</v>
      </c>
      <c r="O171" t="s">
        <v>1070</v>
      </c>
      <c r="P171" t="s">
        <v>1071</v>
      </c>
      <c r="Q171" t="s">
        <v>848</v>
      </c>
      <c r="R171" t="s">
        <v>909</v>
      </c>
      <c r="S171">
        <v>5</v>
      </c>
      <c r="T171" t="s">
        <v>1192</v>
      </c>
      <c r="U171" s="18"/>
      <c r="V171" t="b">
        <f>IF(AND(Table_Trailer_Restock_JSON[[#This Row],[Is Geo Trailer Stock]]=FALSE,Table_Trailer_Restock_JSON[[#This Row],[Is Geo Case Stock]]=FALSE),FALSE,TRUE)</f>
        <v>1</v>
      </c>
    </row>
    <row r="172" spans="1:22" x14ac:dyDescent="0.45">
      <c r="A172">
        <v>170</v>
      </c>
      <c r="B172" t="s">
        <v>447</v>
      </c>
      <c r="E172" t="s">
        <v>391</v>
      </c>
      <c r="F172" t="s">
        <v>448</v>
      </c>
      <c r="G172">
        <v>30</v>
      </c>
      <c r="H172">
        <v>16</v>
      </c>
      <c r="I172" t="s">
        <v>1072</v>
      </c>
      <c r="J172" t="b">
        <v>1</v>
      </c>
      <c r="K172" t="b">
        <v>1</v>
      </c>
      <c r="L172" t="b">
        <v>0</v>
      </c>
      <c r="N172" t="s">
        <v>434</v>
      </c>
      <c r="O172">
        <v>4</v>
      </c>
      <c r="P172">
        <v>2</v>
      </c>
      <c r="Q172" t="s">
        <v>848</v>
      </c>
      <c r="R172" t="s">
        <v>909</v>
      </c>
      <c r="S172">
        <v>6</v>
      </c>
      <c r="T172" t="s">
        <v>1192</v>
      </c>
      <c r="U172" s="18"/>
      <c r="V172" t="b">
        <f>IF(AND(Table_Trailer_Restock_JSON[[#This Row],[Is Geo Trailer Stock]]=FALSE,Table_Trailer_Restock_JSON[[#This Row],[Is Geo Case Stock]]=FALSE),FALSE,TRUE)</f>
        <v>1</v>
      </c>
    </row>
    <row r="173" spans="1:22" x14ac:dyDescent="0.45">
      <c r="A173">
        <v>171</v>
      </c>
      <c r="B173" t="s">
        <v>449</v>
      </c>
      <c r="E173" t="s">
        <v>40</v>
      </c>
      <c r="F173" t="s">
        <v>450</v>
      </c>
      <c r="G173">
        <v>16</v>
      </c>
      <c r="H173">
        <v>8</v>
      </c>
      <c r="I173" t="s">
        <v>1073</v>
      </c>
      <c r="J173" t="b">
        <v>1</v>
      </c>
      <c r="K173" t="b">
        <v>1</v>
      </c>
      <c r="L173" t="b">
        <v>0</v>
      </c>
      <c r="N173" t="s">
        <v>434</v>
      </c>
      <c r="O173">
        <v>4</v>
      </c>
      <c r="P173">
        <v>2</v>
      </c>
      <c r="Q173" t="s">
        <v>848</v>
      </c>
      <c r="R173" t="s">
        <v>909</v>
      </c>
      <c r="S173">
        <v>7</v>
      </c>
      <c r="T173" t="s">
        <v>1192</v>
      </c>
      <c r="U173" s="18"/>
      <c r="V173" t="b">
        <f>IF(AND(Table_Trailer_Restock_JSON[[#This Row],[Is Geo Trailer Stock]]=FALSE,Table_Trailer_Restock_JSON[[#This Row],[Is Geo Case Stock]]=FALSE),FALSE,TRUE)</f>
        <v>1</v>
      </c>
    </row>
    <row r="174" spans="1:22" x14ac:dyDescent="0.45">
      <c r="A174">
        <v>172</v>
      </c>
      <c r="B174" t="s">
        <v>451</v>
      </c>
      <c r="E174" t="s">
        <v>391</v>
      </c>
      <c r="F174" t="s">
        <v>453</v>
      </c>
      <c r="G174">
        <v>100</v>
      </c>
      <c r="H174">
        <v>24</v>
      </c>
      <c r="I174" t="s">
        <v>1074</v>
      </c>
      <c r="J174" t="b">
        <v>1</v>
      </c>
      <c r="K174" t="b">
        <v>1</v>
      </c>
      <c r="L174" t="b">
        <v>0</v>
      </c>
      <c r="N174" t="s">
        <v>434</v>
      </c>
      <c r="O174">
        <v>20</v>
      </c>
      <c r="P174">
        <v>8</v>
      </c>
      <c r="Q174" t="s">
        <v>848</v>
      </c>
      <c r="R174" t="s">
        <v>909</v>
      </c>
      <c r="S174">
        <v>8</v>
      </c>
      <c r="T174" t="s">
        <v>1192</v>
      </c>
      <c r="U174" s="18"/>
      <c r="V174" t="b">
        <f>IF(AND(Table_Trailer_Restock_JSON[[#This Row],[Is Geo Trailer Stock]]=FALSE,Table_Trailer_Restock_JSON[[#This Row],[Is Geo Case Stock]]=FALSE),FALSE,TRUE)</f>
        <v>1</v>
      </c>
    </row>
    <row r="175" spans="1:22" x14ac:dyDescent="0.45">
      <c r="A175">
        <v>173</v>
      </c>
      <c r="B175" t="s">
        <v>454</v>
      </c>
      <c r="E175" t="s">
        <v>457</v>
      </c>
      <c r="G175" t="s">
        <v>115</v>
      </c>
      <c r="H175" t="s">
        <v>116</v>
      </c>
      <c r="I175" t="s">
        <v>1075</v>
      </c>
      <c r="J175" t="b">
        <v>1</v>
      </c>
      <c r="K175" t="b">
        <v>1</v>
      </c>
      <c r="L175" t="b">
        <v>0</v>
      </c>
      <c r="N175" t="s">
        <v>455</v>
      </c>
      <c r="O175">
        <v>12</v>
      </c>
      <c r="P175">
        <v>6</v>
      </c>
      <c r="Q175" t="s">
        <v>848</v>
      </c>
      <c r="R175" t="s">
        <v>911</v>
      </c>
      <c r="S175">
        <v>1</v>
      </c>
      <c r="T175" t="s">
        <v>1193</v>
      </c>
      <c r="U175" s="18"/>
      <c r="V175" t="b">
        <f>IF(AND(Table_Trailer_Restock_JSON[[#This Row],[Is Geo Trailer Stock]]=FALSE,Table_Trailer_Restock_JSON[[#This Row],[Is Geo Case Stock]]=FALSE),FALSE,TRUE)</f>
        <v>1</v>
      </c>
    </row>
    <row r="176" spans="1:22" x14ac:dyDescent="0.45">
      <c r="A176">
        <v>174</v>
      </c>
      <c r="B176" t="s">
        <v>458</v>
      </c>
      <c r="E176" t="s">
        <v>457</v>
      </c>
      <c r="G176" t="s">
        <v>460</v>
      </c>
      <c r="H176" t="s">
        <v>461</v>
      </c>
      <c r="I176" t="s">
        <v>1076</v>
      </c>
      <c r="J176" t="b">
        <v>1</v>
      </c>
      <c r="K176" t="b">
        <v>1</v>
      </c>
      <c r="L176" t="b">
        <v>0</v>
      </c>
      <c r="N176" t="s">
        <v>455</v>
      </c>
      <c r="O176">
        <v>24</v>
      </c>
      <c r="P176">
        <v>12</v>
      </c>
      <c r="Q176" t="s">
        <v>848</v>
      </c>
      <c r="R176" t="s">
        <v>911</v>
      </c>
      <c r="S176">
        <v>2</v>
      </c>
      <c r="T176" t="s">
        <v>1193</v>
      </c>
      <c r="U176" s="18"/>
      <c r="V176" t="b">
        <f>IF(AND(Table_Trailer_Restock_JSON[[#This Row],[Is Geo Trailer Stock]]=FALSE,Table_Trailer_Restock_JSON[[#This Row],[Is Geo Case Stock]]=FALSE),FALSE,TRUE)</f>
        <v>1</v>
      </c>
    </row>
    <row r="177" spans="1:22" x14ac:dyDescent="0.45">
      <c r="A177">
        <v>175</v>
      </c>
      <c r="B177" t="s">
        <v>462</v>
      </c>
      <c r="E177" t="s">
        <v>457</v>
      </c>
      <c r="G177" t="s">
        <v>284</v>
      </c>
      <c r="H177" t="s">
        <v>464</v>
      </c>
      <c r="I177" t="s">
        <v>1077</v>
      </c>
      <c r="J177" t="b">
        <v>1</v>
      </c>
      <c r="K177" t="b">
        <v>1</v>
      </c>
      <c r="L177" t="b">
        <v>0</v>
      </c>
      <c r="N177" t="s">
        <v>455</v>
      </c>
      <c r="O177">
        <v>12</v>
      </c>
      <c r="P177">
        <v>6</v>
      </c>
      <c r="Q177" t="s">
        <v>848</v>
      </c>
      <c r="R177" t="s">
        <v>911</v>
      </c>
      <c r="S177">
        <v>3</v>
      </c>
      <c r="T177" t="s">
        <v>1193</v>
      </c>
      <c r="U177" s="18"/>
      <c r="V177" t="b">
        <f>IF(AND(Table_Trailer_Restock_JSON[[#This Row],[Is Geo Trailer Stock]]=FALSE,Table_Trailer_Restock_JSON[[#This Row],[Is Geo Case Stock]]=FALSE),FALSE,TRUE)</f>
        <v>1</v>
      </c>
    </row>
    <row r="178" spans="1:22" x14ac:dyDescent="0.45">
      <c r="A178">
        <v>176</v>
      </c>
      <c r="B178" t="s">
        <v>465</v>
      </c>
      <c r="E178" t="s">
        <v>457</v>
      </c>
      <c r="G178" t="s">
        <v>284</v>
      </c>
      <c r="H178" t="s">
        <v>464</v>
      </c>
      <c r="I178" t="s">
        <v>1078</v>
      </c>
      <c r="J178" t="b">
        <v>1</v>
      </c>
      <c r="K178" t="b">
        <v>1</v>
      </c>
      <c r="L178" t="b">
        <v>0</v>
      </c>
      <c r="N178" t="s">
        <v>455</v>
      </c>
      <c r="O178">
        <v>12</v>
      </c>
      <c r="P178">
        <v>6</v>
      </c>
      <c r="Q178" t="s">
        <v>848</v>
      </c>
      <c r="R178" t="s">
        <v>911</v>
      </c>
      <c r="S178">
        <v>4</v>
      </c>
      <c r="T178" t="s">
        <v>1193</v>
      </c>
      <c r="U178" s="18"/>
      <c r="V178" t="b">
        <f>IF(AND(Table_Trailer_Restock_JSON[[#This Row],[Is Geo Trailer Stock]]=FALSE,Table_Trailer_Restock_JSON[[#This Row],[Is Geo Case Stock]]=FALSE),FALSE,TRUE)</f>
        <v>1</v>
      </c>
    </row>
    <row r="179" spans="1:22" x14ac:dyDescent="0.45">
      <c r="A179">
        <v>177</v>
      </c>
      <c r="B179" t="s">
        <v>466</v>
      </c>
      <c r="E179" t="s">
        <v>457</v>
      </c>
      <c r="G179" t="s">
        <v>460</v>
      </c>
      <c r="H179" t="s">
        <v>461</v>
      </c>
      <c r="I179" t="s">
        <v>1079</v>
      </c>
      <c r="J179" t="b">
        <v>1</v>
      </c>
      <c r="K179" t="b">
        <v>1</v>
      </c>
      <c r="L179" t="b">
        <v>0</v>
      </c>
      <c r="N179" t="s">
        <v>455</v>
      </c>
      <c r="O179">
        <v>24</v>
      </c>
      <c r="P179">
        <v>12</v>
      </c>
      <c r="Q179" t="s">
        <v>848</v>
      </c>
      <c r="R179" t="s">
        <v>911</v>
      </c>
      <c r="S179">
        <v>5</v>
      </c>
      <c r="T179" t="s">
        <v>1193</v>
      </c>
      <c r="U179" s="18"/>
      <c r="V179" t="b">
        <f>IF(AND(Table_Trailer_Restock_JSON[[#This Row],[Is Geo Trailer Stock]]=FALSE,Table_Trailer_Restock_JSON[[#This Row],[Is Geo Case Stock]]=FALSE),FALSE,TRUE)</f>
        <v>1</v>
      </c>
    </row>
    <row r="180" spans="1:22" x14ac:dyDescent="0.45">
      <c r="A180">
        <v>178</v>
      </c>
      <c r="B180" t="s">
        <v>468</v>
      </c>
      <c r="E180" t="s">
        <v>457</v>
      </c>
      <c r="G180" t="s">
        <v>469</v>
      </c>
      <c r="H180" t="s">
        <v>284</v>
      </c>
      <c r="I180" t="s">
        <v>1080</v>
      </c>
      <c r="J180" t="b">
        <v>1</v>
      </c>
      <c r="K180" t="b">
        <v>1</v>
      </c>
      <c r="L180" t="b">
        <v>0</v>
      </c>
      <c r="N180" t="s">
        <v>455</v>
      </c>
      <c r="O180">
        <v>12</v>
      </c>
      <c r="P180">
        <v>6</v>
      </c>
      <c r="Q180" t="s">
        <v>848</v>
      </c>
      <c r="R180" t="s">
        <v>911</v>
      </c>
      <c r="S180">
        <v>6</v>
      </c>
      <c r="T180" t="s">
        <v>1193</v>
      </c>
      <c r="U180" s="18"/>
      <c r="V180" t="b">
        <f>IF(AND(Table_Trailer_Restock_JSON[[#This Row],[Is Geo Trailer Stock]]=FALSE,Table_Trailer_Restock_JSON[[#This Row],[Is Geo Case Stock]]=FALSE),FALSE,TRUE)</f>
        <v>1</v>
      </c>
    </row>
    <row r="181" spans="1:22" x14ac:dyDescent="0.45">
      <c r="A181">
        <v>179</v>
      </c>
      <c r="B181" t="s">
        <v>470</v>
      </c>
      <c r="E181" t="s">
        <v>471</v>
      </c>
      <c r="G181" t="s">
        <v>472</v>
      </c>
      <c r="H181" t="s">
        <v>473</v>
      </c>
      <c r="I181" t="s">
        <v>1081</v>
      </c>
      <c r="J181" t="b">
        <v>1</v>
      </c>
      <c r="K181" t="b">
        <v>1</v>
      </c>
      <c r="L181" t="b">
        <v>0</v>
      </c>
      <c r="N181" t="s">
        <v>455</v>
      </c>
      <c r="O181">
        <v>12</v>
      </c>
      <c r="P181">
        <v>6</v>
      </c>
      <c r="Q181" t="s">
        <v>848</v>
      </c>
      <c r="R181" t="s">
        <v>911</v>
      </c>
      <c r="S181">
        <v>7</v>
      </c>
      <c r="T181" t="s">
        <v>1193</v>
      </c>
      <c r="U181" s="18"/>
      <c r="V181" t="b">
        <f>IF(AND(Table_Trailer_Restock_JSON[[#This Row],[Is Geo Trailer Stock]]=FALSE,Table_Trailer_Restock_JSON[[#This Row],[Is Geo Case Stock]]=FALSE),FALSE,TRUE)</f>
        <v>1</v>
      </c>
    </row>
    <row r="182" spans="1:22" x14ac:dyDescent="0.45">
      <c r="A182">
        <v>180</v>
      </c>
      <c r="B182" t="s">
        <v>474</v>
      </c>
      <c r="G182">
        <v>50</v>
      </c>
      <c r="H182">
        <v>10</v>
      </c>
      <c r="I182" t="s">
        <v>1082</v>
      </c>
      <c r="J182" t="b">
        <v>1</v>
      </c>
      <c r="K182" t="b">
        <v>1</v>
      </c>
      <c r="L182" t="b">
        <v>0</v>
      </c>
      <c r="N182" t="s">
        <v>475</v>
      </c>
      <c r="O182">
        <v>2</v>
      </c>
      <c r="P182">
        <v>1</v>
      </c>
      <c r="Q182" t="s">
        <v>848</v>
      </c>
      <c r="R182" t="s">
        <v>913</v>
      </c>
      <c r="S182">
        <v>1</v>
      </c>
      <c r="T182" t="s">
        <v>1194</v>
      </c>
      <c r="U182" s="18"/>
      <c r="V182" t="b">
        <f>IF(AND(Table_Trailer_Restock_JSON[[#This Row],[Is Geo Trailer Stock]]=FALSE,Table_Trailer_Restock_JSON[[#This Row],[Is Geo Case Stock]]=FALSE),FALSE,TRUE)</f>
        <v>1</v>
      </c>
    </row>
    <row r="183" spans="1:22" x14ac:dyDescent="0.45">
      <c r="A183">
        <v>181</v>
      </c>
      <c r="B183" t="s">
        <v>476</v>
      </c>
      <c r="G183">
        <v>50</v>
      </c>
      <c r="H183">
        <v>10</v>
      </c>
      <c r="I183" t="s">
        <v>1083</v>
      </c>
      <c r="J183" t="b">
        <v>1</v>
      </c>
      <c r="K183" t="b">
        <v>1</v>
      </c>
      <c r="L183" t="b">
        <v>0</v>
      </c>
      <c r="N183" t="s">
        <v>475</v>
      </c>
      <c r="O183">
        <v>2</v>
      </c>
      <c r="P183">
        <v>1</v>
      </c>
      <c r="Q183" t="s">
        <v>848</v>
      </c>
      <c r="R183" t="s">
        <v>913</v>
      </c>
      <c r="S183">
        <v>2</v>
      </c>
      <c r="T183" t="s">
        <v>1194</v>
      </c>
      <c r="U183" s="18"/>
      <c r="V183" t="b">
        <f>IF(AND(Table_Trailer_Restock_JSON[[#This Row],[Is Geo Trailer Stock]]=FALSE,Table_Trailer_Restock_JSON[[#This Row],[Is Geo Case Stock]]=FALSE),FALSE,TRUE)</f>
        <v>1</v>
      </c>
    </row>
    <row r="184" spans="1:22" x14ac:dyDescent="0.45">
      <c r="A184">
        <v>182</v>
      </c>
      <c r="B184" t="s">
        <v>477</v>
      </c>
      <c r="G184">
        <v>200</v>
      </c>
      <c r="H184">
        <v>50</v>
      </c>
      <c r="I184" t="s">
        <v>1084</v>
      </c>
      <c r="J184" t="b">
        <v>1</v>
      </c>
      <c r="K184" t="b">
        <v>1</v>
      </c>
      <c r="L184" t="b">
        <v>0</v>
      </c>
      <c r="N184" t="s">
        <v>475</v>
      </c>
      <c r="O184">
        <v>12</v>
      </c>
      <c r="P184">
        <v>4</v>
      </c>
      <c r="Q184" t="s">
        <v>848</v>
      </c>
      <c r="R184" t="s">
        <v>913</v>
      </c>
      <c r="S184">
        <v>3</v>
      </c>
      <c r="T184" t="s">
        <v>1194</v>
      </c>
      <c r="U184" s="18"/>
      <c r="V184" t="b">
        <f>IF(AND(Table_Trailer_Restock_JSON[[#This Row],[Is Geo Trailer Stock]]=FALSE,Table_Trailer_Restock_JSON[[#This Row],[Is Geo Case Stock]]=FALSE),FALSE,TRUE)</f>
        <v>1</v>
      </c>
    </row>
    <row r="185" spans="1:22" x14ac:dyDescent="0.45">
      <c r="A185">
        <v>183</v>
      </c>
      <c r="B185" t="s">
        <v>478</v>
      </c>
      <c r="G185">
        <v>200</v>
      </c>
      <c r="H185">
        <v>50</v>
      </c>
      <c r="I185" t="s">
        <v>1085</v>
      </c>
      <c r="J185" t="b">
        <v>1</v>
      </c>
      <c r="K185" t="b">
        <v>1</v>
      </c>
      <c r="L185" t="b">
        <v>0</v>
      </c>
      <c r="N185" t="s">
        <v>475</v>
      </c>
      <c r="Q185" t="s">
        <v>848</v>
      </c>
      <c r="R185" t="s">
        <v>913</v>
      </c>
      <c r="S185">
        <v>4</v>
      </c>
      <c r="T185" t="s">
        <v>1194</v>
      </c>
      <c r="U185" s="18"/>
      <c r="V185" t="b">
        <f>IF(AND(Table_Trailer_Restock_JSON[[#This Row],[Is Geo Trailer Stock]]=FALSE,Table_Trailer_Restock_JSON[[#This Row],[Is Geo Case Stock]]=FALSE),FALSE,TRUE)</f>
        <v>1</v>
      </c>
    </row>
    <row r="186" spans="1:22" x14ac:dyDescent="0.45">
      <c r="A186">
        <v>184</v>
      </c>
      <c r="B186" t="s">
        <v>479</v>
      </c>
      <c r="G186">
        <v>200</v>
      </c>
      <c r="H186">
        <v>50</v>
      </c>
      <c r="I186" t="s">
        <v>1086</v>
      </c>
      <c r="J186" t="b">
        <v>1</v>
      </c>
      <c r="K186" t="b">
        <v>1</v>
      </c>
      <c r="L186" t="b">
        <v>0</v>
      </c>
      <c r="N186" t="s">
        <v>475</v>
      </c>
      <c r="Q186" t="s">
        <v>848</v>
      </c>
      <c r="R186" t="s">
        <v>913</v>
      </c>
      <c r="S186">
        <v>5</v>
      </c>
      <c r="T186" t="s">
        <v>1194</v>
      </c>
      <c r="U186" s="18"/>
      <c r="V186" t="b">
        <f>IF(AND(Table_Trailer_Restock_JSON[[#This Row],[Is Geo Trailer Stock]]=FALSE,Table_Trailer_Restock_JSON[[#This Row],[Is Geo Case Stock]]=FALSE),FALSE,TRUE)</f>
        <v>1</v>
      </c>
    </row>
    <row r="187" spans="1:22" x14ac:dyDescent="0.45">
      <c r="A187">
        <v>185</v>
      </c>
      <c r="B187" t="s">
        <v>480</v>
      </c>
      <c r="G187">
        <v>200</v>
      </c>
      <c r="H187">
        <v>50</v>
      </c>
      <c r="I187" t="s">
        <v>1087</v>
      </c>
      <c r="J187" t="b">
        <v>1</v>
      </c>
      <c r="K187" t="b">
        <v>1</v>
      </c>
      <c r="L187" t="b">
        <v>0</v>
      </c>
      <c r="N187" t="s">
        <v>475</v>
      </c>
      <c r="Q187" t="s">
        <v>848</v>
      </c>
      <c r="R187" t="s">
        <v>913</v>
      </c>
      <c r="S187">
        <v>6</v>
      </c>
      <c r="T187" t="s">
        <v>1194</v>
      </c>
      <c r="U187" s="18"/>
      <c r="V187" t="b">
        <f>IF(AND(Table_Trailer_Restock_JSON[[#This Row],[Is Geo Trailer Stock]]=FALSE,Table_Trailer_Restock_JSON[[#This Row],[Is Geo Case Stock]]=FALSE),FALSE,TRUE)</f>
        <v>1</v>
      </c>
    </row>
    <row r="188" spans="1:22" x14ac:dyDescent="0.45">
      <c r="A188">
        <v>227</v>
      </c>
      <c r="B188" t="s">
        <v>568</v>
      </c>
      <c r="E188" t="s">
        <v>101</v>
      </c>
      <c r="F188">
        <v>258</v>
      </c>
      <c r="G188" t="s">
        <v>128</v>
      </c>
      <c r="H188" t="s">
        <v>128</v>
      </c>
      <c r="I188" t="s">
        <v>1129</v>
      </c>
      <c r="J188" t="b">
        <v>1</v>
      </c>
      <c r="K188" t="b">
        <v>1</v>
      </c>
      <c r="L188" t="b">
        <v>0</v>
      </c>
      <c r="N188" t="s">
        <v>919</v>
      </c>
      <c r="Q188" t="s">
        <v>848</v>
      </c>
      <c r="R188" t="s">
        <v>918</v>
      </c>
      <c r="S188">
        <v>1</v>
      </c>
      <c r="T188" t="s">
        <v>1195</v>
      </c>
      <c r="U188" s="18"/>
      <c r="V188" t="b">
        <f>IF(AND(Table_Trailer_Restock_JSON[[#This Row],[Is Geo Trailer Stock]]=FALSE,Table_Trailer_Restock_JSON[[#This Row],[Is Geo Case Stock]]=FALSE),FALSE,TRUE)</f>
        <v>1</v>
      </c>
    </row>
    <row r="189" spans="1:22" x14ac:dyDescent="0.45">
      <c r="A189">
        <v>228</v>
      </c>
      <c r="B189" t="s">
        <v>572</v>
      </c>
      <c r="E189" t="s">
        <v>40</v>
      </c>
      <c r="F189" t="s">
        <v>575</v>
      </c>
      <c r="G189" t="s">
        <v>284</v>
      </c>
      <c r="H189" t="s">
        <v>284</v>
      </c>
      <c r="I189" t="s">
        <v>1130</v>
      </c>
      <c r="J189" t="b">
        <v>1</v>
      </c>
      <c r="K189" t="b">
        <v>1</v>
      </c>
      <c r="L189" t="b">
        <v>0</v>
      </c>
      <c r="N189" t="s">
        <v>919</v>
      </c>
      <c r="Q189" t="s">
        <v>848</v>
      </c>
      <c r="R189" t="s">
        <v>918</v>
      </c>
      <c r="S189">
        <v>2</v>
      </c>
      <c r="T189" t="s">
        <v>1195</v>
      </c>
      <c r="U189" s="18"/>
      <c r="V189" t="b">
        <f>IF(AND(Table_Trailer_Restock_JSON[[#This Row],[Is Geo Trailer Stock]]=FALSE,Table_Trailer_Restock_JSON[[#This Row],[Is Geo Case Stock]]=FALSE),FALSE,TRUE)</f>
        <v>1</v>
      </c>
    </row>
    <row r="190" spans="1:22" x14ac:dyDescent="0.45">
      <c r="A190">
        <v>229</v>
      </c>
      <c r="B190" t="s">
        <v>576</v>
      </c>
      <c r="E190" t="s">
        <v>40</v>
      </c>
      <c r="F190" t="s">
        <v>578</v>
      </c>
      <c r="G190" t="s">
        <v>284</v>
      </c>
      <c r="H190" t="s">
        <v>284</v>
      </c>
      <c r="I190" t="s">
        <v>1131</v>
      </c>
      <c r="J190" t="b">
        <v>1</v>
      </c>
      <c r="K190" t="b">
        <v>1</v>
      </c>
      <c r="L190" t="b">
        <v>0</v>
      </c>
      <c r="N190" t="s">
        <v>919</v>
      </c>
      <c r="Q190" t="s">
        <v>848</v>
      </c>
      <c r="R190" t="s">
        <v>918</v>
      </c>
      <c r="S190">
        <v>3</v>
      </c>
      <c r="T190" t="s">
        <v>1195</v>
      </c>
      <c r="U190" s="18"/>
      <c r="V190" t="b">
        <f>IF(AND(Table_Trailer_Restock_JSON[[#This Row],[Is Geo Trailer Stock]]=FALSE,Table_Trailer_Restock_JSON[[#This Row],[Is Geo Case Stock]]=FALSE),FALSE,TRUE)</f>
        <v>1</v>
      </c>
    </row>
    <row r="191" spans="1:22" x14ac:dyDescent="0.45">
      <c r="A191">
        <v>230</v>
      </c>
      <c r="B191" t="s">
        <v>579</v>
      </c>
      <c r="E191" t="s">
        <v>494</v>
      </c>
      <c r="G191">
        <v>8</v>
      </c>
      <c r="H191">
        <v>4</v>
      </c>
      <c r="I191" t="s">
        <v>1132</v>
      </c>
      <c r="J191" t="b">
        <v>1</v>
      </c>
      <c r="K191" t="b">
        <v>1</v>
      </c>
      <c r="L191" t="b">
        <v>0</v>
      </c>
      <c r="N191" t="s">
        <v>919</v>
      </c>
      <c r="Q191" t="s">
        <v>848</v>
      </c>
      <c r="R191" t="s">
        <v>918</v>
      </c>
      <c r="S191">
        <v>4</v>
      </c>
      <c r="T191" t="s">
        <v>1195</v>
      </c>
      <c r="U191" s="18"/>
      <c r="V191" t="b">
        <f>IF(AND(Table_Trailer_Restock_JSON[[#This Row],[Is Geo Trailer Stock]]=FALSE,Table_Trailer_Restock_JSON[[#This Row],[Is Geo Case Stock]]=FALSE),FALSE,TRUE)</f>
        <v>1</v>
      </c>
    </row>
    <row r="192" spans="1:22" x14ac:dyDescent="0.45">
      <c r="A192">
        <v>231</v>
      </c>
      <c r="B192" t="s">
        <v>581</v>
      </c>
      <c r="E192" t="s">
        <v>494</v>
      </c>
      <c r="G192">
        <v>20</v>
      </c>
      <c r="H192">
        <v>10</v>
      </c>
      <c r="I192" t="s">
        <v>1133</v>
      </c>
      <c r="J192" t="b">
        <v>1</v>
      </c>
      <c r="K192" t="b">
        <v>1</v>
      </c>
      <c r="L192" t="b">
        <v>0</v>
      </c>
      <c r="N192" t="s">
        <v>919</v>
      </c>
      <c r="Q192" t="s">
        <v>848</v>
      </c>
      <c r="R192" t="s">
        <v>918</v>
      </c>
      <c r="S192">
        <v>5</v>
      </c>
      <c r="T192" t="s">
        <v>1195</v>
      </c>
      <c r="U192" s="18"/>
      <c r="V192" t="b">
        <f>IF(AND(Table_Trailer_Restock_JSON[[#This Row],[Is Geo Trailer Stock]]=FALSE,Table_Trailer_Restock_JSON[[#This Row],[Is Geo Case Stock]]=FALSE),FALSE,TRUE)</f>
        <v>1</v>
      </c>
    </row>
    <row r="193" spans="1:22" x14ac:dyDescent="0.45">
      <c r="A193">
        <v>232</v>
      </c>
      <c r="B193" t="s">
        <v>583</v>
      </c>
      <c r="E193" t="s">
        <v>494</v>
      </c>
      <c r="G193">
        <v>20</v>
      </c>
      <c r="H193">
        <v>10</v>
      </c>
      <c r="I193" t="s">
        <v>1134</v>
      </c>
      <c r="J193" t="b">
        <v>1</v>
      </c>
      <c r="K193" t="b">
        <v>1</v>
      </c>
      <c r="L193" t="b">
        <v>0</v>
      </c>
      <c r="N193" t="s">
        <v>919</v>
      </c>
      <c r="Q193" t="s">
        <v>848</v>
      </c>
      <c r="R193" t="s">
        <v>918</v>
      </c>
      <c r="S193">
        <v>6</v>
      </c>
      <c r="T193" t="s">
        <v>1195</v>
      </c>
      <c r="U193" s="18"/>
      <c r="V193" t="b">
        <f>IF(AND(Table_Trailer_Restock_JSON[[#This Row],[Is Geo Trailer Stock]]=FALSE,Table_Trailer_Restock_JSON[[#This Row],[Is Geo Case Stock]]=FALSE),FALSE,TRUE)</f>
        <v>1</v>
      </c>
    </row>
    <row r="194" spans="1:22" x14ac:dyDescent="0.45">
      <c r="A194">
        <v>233</v>
      </c>
      <c r="B194" t="s">
        <v>585</v>
      </c>
      <c r="E194" t="s">
        <v>391</v>
      </c>
      <c r="F194" t="s">
        <v>587</v>
      </c>
      <c r="G194">
        <v>40</v>
      </c>
      <c r="H194">
        <v>40</v>
      </c>
      <c r="I194" t="s">
        <v>1135</v>
      </c>
      <c r="J194" t="b">
        <v>1</v>
      </c>
      <c r="K194" t="b">
        <v>1</v>
      </c>
      <c r="L194" t="b">
        <v>0</v>
      </c>
      <c r="N194" t="s">
        <v>919</v>
      </c>
      <c r="Q194" t="s">
        <v>848</v>
      </c>
      <c r="R194" t="s">
        <v>918</v>
      </c>
      <c r="S194">
        <v>7</v>
      </c>
      <c r="T194" t="s">
        <v>1195</v>
      </c>
      <c r="U194" s="18"/>
      <c r="V194" t="b">
        <f>IF(AND(Table_Trailer_Restock_JSON[[#This Row],[Is Geo Trailer Stock]]=FALSE,Table_Trailer_Restock_JSON[[#This Row],[Is Geo Case Stock]]=FALSE),FALSE,TRUE)</f>
        <v>1</v>
      </c>
    </row>
    <row r="195" spans="1:22" x14ac:dyDescent="0.45">
      <c r="A195">
        <v>234</v>
      </c>
      <c r="B195" t="s">
        <v>588</v>
      </c>
      <c r="E195" t="s">
        <v>391</v>
      </c>
      <c r="F195" t="s">
        <v>590</v>
      </c>
      <c r="G195">
        <v>20</v>
      </c>
      <c r="H195">
        <v>20</v>
      </c>
      <c r="I195" t="s">
        <v>1136</v>
      </c>
      <c r="J195" t="b">
        <v>1</v>
      </c>
      <c r="K195" t="b">
        <v>1</v>
      </c>
      <c r="L195" t="b">
        <v>0</v>
      </c>
      <c r="N195" t="s">
        <v>919</v>
      </c>
      <c r="O195">
        <v>7</v>
      </c>
      <c r="P195">
        <v>5</v>
      </c>
      <c r="Q195" t="s">
        <v>848</v>
      </c>
      <c r="R195" t="s">
        <v>918</v>
      </c>
      <c r="S195">
        <v>8</v>
      </c>
      <c r="T195" t="s">
        <v>1195</v>
      </c>
      <c r="U195" s="18"/>
      <c r="V195" t="b">
        <f>IF(AND(Table_Trailer_Restock_JSON[[#This Row],[Is Geo Trailer Stock]]=FALSE,Table_Trailer_Restock_JSON[[#This Row],[Is Geo Case Stock]]=FALSE),FALSE,TRUE)</f>
        <v>1</v>
      </c>
    </row>
    <row r="196" spans="1:22" x14ac:dyDescent="0.45">
      <c r="A196">
        <v>235</v>
      </c>
      <c r="B196" t="s">
        <v>591</v>
      </c>
      <c r="E196" t="s">
        <v>494</v>
      </c>
      <c r="G196">
        <v>6</v>
      </c>
      <c r="H196">
        <v>2</v>
      </c>
      <c r="I196" t="s">
        <v>1137</v>
      </c>
      <c r="J196" t="b">
        <v>1</v>
      </c>
      <c r="K196" t="b">
        <v>1</v>
      </c>
      <c r="L196" t="b">
        <v>0</v>
      </c>
      <c r="N196" t="s">
        <v>919</v>
      </c>
      <c r="Q196" t="s">
        <v>848</v>
      </c>
      <c r="R196" t="s">
        <v>918</v>
      </c>
      <c r="S196">
        <v>9</v>
      </c>
      <c r="T196" t="s">
        <v>1195</v>
      </c>
      <c r="U196" s="18"/>
      <c r="V196" t="b">
        <f>IF(AND(Table_Trailer_Restock_JSON[[#This Row],[Is Geo Trailer Stock]]=FALSE,Table_Trailer_Restock_JSON[[#This Row],[Is Geo Case Stock]]=FALSE),FALSE,TRUE)</f>
        <v>1</v>
      </c>
    </row>
    <row r="197" spans="1:22" x14ac:dyDescent="0.45">
      <c r="A197">
        <v>236</v>
      </c>
      <c r="B197" t="s">
        <v>593</v>
      </c>
      <c r="E197" t="s">
        <v>596</v>
      </c>
      <c r="G197">
        <v>1</v>
      </c>
      <c r="I197" t="s">
        <v>1138</v>
      </c>
      <c r="J197" t="b">
        <v>1</v>
      </c>
      <c r="K197" t="b">
        <v>1</v>
      </c>
      <c r="L197" t="b">
        <v>0</v>
      </c>
      <c r="N197" t="s">
        <v>594</v>
      </c>
      <c r="Q197" t="s">
        <v>848</v>
      </c>
      <c r="R197" t="s">
        <v>921</v>
      </c>
      <c r="S197">
        <v>1</v>
      </c>
      <c r="T197" t="s">
        <v>1196</v>
      </c>
      <c r="U197" s="18"/>
      <c r="V197" t="b">
        <f>IF(AND(Table_Trailer_Restock_JSON[[#This Row],[Is Geo Trailer Stock]]=FALSE,Table_Trailer_Restock_JSON[[#This Row],[Is Geo Case Stock]]=FALSE),FALSE,TRUE)</f>
        <v>1</v>
      </c>
    </row>
    <row r="198" spans="1:22" x14ac:dyDescent="0.45">
      <c r="A198">
        <v>237</v>
      </c>
      <c r="B198" t="s">
        <v>597</v>
      </c>
      <c r="E198" t="s">
        <v>596</v>
      </c>
      <c r="G198">
        <v>1</v>
      </c>
      <c r="I198" t="s">
        <v>1139</v>
      </c>
      <c r="J198" t="b">
        <v>1</v>
      </c>
      <c r="K198" t="b">
        <v>1</v>
      </c>
      <c r="L198" t="b">
        <v>0</v>
      </c>
      <c r="N198" t="s">
        <v>594</v>
      </c>
      <c r="Q198" t="s">
        <v>848</v>
      </c>
      <c r="R198" t="s">
        <v>921</v>
      </c>
      <c r="S198">
        <v>2</v>
      </c>
      <c r="T198" t="s">
        <v>1196</v>
      </c>
      <c r="U198" s="18"/>
      <c r="V198" t="b">
        <f>IF(AND(Table_Trailer_Restock_JSON[[#This Row],[Is Geo Trailer Stock]]=FALSE,Table_Trailer_Restock_JSON[[#This Row],[Is Geo Case Stock]]=FALSE),FALSE,TRUE)</f>
        <v>1</v>
      </c>
    </row>
    <row r="199" spans="1:22" x14ac:dyDescent="0.45">
      <c r="A199">
        <v>238</v>
      </c>
      <c r="B199" t="s">
        <v>598</v>
      </c>
      <c r="E199" t="s">
        <v>596</v>
      </c>
      <c r="G199">
        <v>3</v>
      </c>
      <c r="H199">
        <v>3</v>
      </c>
      <c r="I199" t="s">
        <v>1140</v>
      </c>
      <c r="J199" t="b">
        <v>1</v>
      </c>
      <c r="K199" t="b">
        <v>1</v>
      </c>
      <c r="L199" t="b">
        <v>0</v>
      </c>
      <c r="N199" t="s">
        <v>594</v>
      </c>
      <c r="Q199" t="s">
        <v>848</v>
      </c>
      <c r="R199" t="s">
        <v>921</v>
      </c>
      <c r="S199">
        <v>3</v>
      </c>
      <c r="T199" t="s">
        <v>1196</v>
      </c>
      <c r="U199" s="18"/>
      <c r="V199" t="b">
        <f>IF(AND(Table_Trailer_Restock_JSON[[#This Row],[Is Geo Trailer Stock]]=FALSE,Table_Trailer_Restock_JSON[[#This Row],[Is Geo Case Stock]]=FALSE),FALSE,TRUE)</f>
        <v>1</v>
      </c>
    </row>
    <row r="200" spans="1:22" x14ac:dyDescent="0.45">
      <c r="A200">
        <v>239</v>
      </c>
      <c r="B200" t="s">
        <v>599</v>
      </c>
      <c r="E200" t="s">
        <v>29</v>
      </c>
      <c r="F200">
        <v>779164</v>
      </c>
      <c r="G200">
        <v>1</v>
      </c>
      <c r="I200" t="s">
        <v>1141</v>
      </c>
      <c r="J200" t="b">
        <v>1</v>
      </c>
      <c r="K200" t="b">
        <v>1</v>
      </c>
      <c r="L200" t="b">
        <v>0</v>
      </c>
      <c r="N200" t="s">
        <v>594</v>
      </c>
      <c r="Q200" t="s">
        <v>848</v>
      </c>
      <c r="R200" t="s">
        <v>921</v>
      </c>
      <c r="S200">
        <v>4</v>
      </c>
      <c r="T200" t="s">
        <v>1196</v>
      </c>
      <c r="U200" s="18"/>
      <c r="V200" t="b">
        <f>IF(AND(Table_Trailer_Restock_JSON[[#This Row],[Is Geo Trailer Stock]]=FALSE,Table_Trailer_Restock_JSON[[#This Row],[Is Geo Case Stock]]=FALSE),FALSE,TRUE)</f>
        <v>1</v>
      </c>
    </row>
    <row r="201" spans="1:22" x14ac:dyDescent="0.45">
      <c r="A201">
        <v>240</v>
      </c>
      <c r="B201" t="s">
        <v>601</v>
      </c>
      <c r="E201" t="s">
        <v>29</v>
      </c>
      <c r="F201">
        <v>315303672</v>
      </c>
      <c r="G201">
        <v>10</v>
      </c>
      <c r="H201">
        <v>6</v>
      </c>
      <c r="I201" t="s">
        <v>1142</v>
      </c>
      <c r="J201" t="b">
        <v>1</v>
      </c>
      <c r="K201" t="b">
        <v>1</v>
      </c>
      <c r="L201" t="b">
        <v>0</v>
      </c>
      <c r="N201" t="s">
        <v>594</v>
      </c>
      <c r="Q201" t="s">
        <v>848</v>
      </c>
      <c r="R201" t="s">
        <v>921</v>
      </c>
      <c r="S201">
        <v>5</v>
      </c>
      <c r="T201" t="s">
        <v>1196</v>
      </c>
      <c r="U201" s="18"/>
      <c r="V201" t="b">
        <f>IF(AND(Table_Trailer_Restock_JSON[[#This Row],[Is Geo Trailer Stock]]=FALSE,Table_Trailer_Restock_JSON[[#This Row],[Is Geo Case Stock]]=FALSE),FALSE,TRUE)</f>
        <v>1</v>
      </c>
    </row>
    <row r="202" spans="1:22" x14ac:dyDescent="0.45">
      <c r="A202">
        <v>241</v>
      </c>
      <c r="B202" t="s">
        <v>603</v>
      </c>
      <c r="E202" t="s">
        <v>29</v>
      </c>
      <c r="F202" t="s">
        <v>604</v>
      </c>
      <c r="G202">
        <v>6</v>
      </c>
      <c r="H202">
        <v>6</v>
      </c>
      <c r="I202" t="s">
        <v>1143</v>
      </c>
      <c r="J202" t="b">
        <v>1</v>
      </c>
      <c r="K202" t="b">
        <v>1</v>
      </c>
      <c r="L202" t="b">
        <v>0</v>
      </c>
      <c r="N202" t="s">
        <v>594</v>
      </c>
      <c r="Q202" t="s">
        <v>848</v>
      </c>
      <c r="R202" t="s">
        <v>921</v>
      </c>
      <c r="S202">
        <v>6</v>
      </c>
      <c r="T202" t="s">
        <v>1196</v>
      </c>
      <c r="U202" s="18"/>
      <c r="V202" t="b">
        <f>IF(AND(Table_Trailer_Restock_JSON[[#This Row],[Is Geo Trailer Stock]]=FALSE,Table_Trailer_Restock_JSON[[#This Row],[Is Geo Case Stock]]=FALSE),FALSE,TRUE)</f>
        <v>1</v>
      </c>
    </row>
    <row r="203" spans="1:22" x14ac:dyDescent="0.45">
      <c r="A203">
        <v>242</v>
      </c>
      <c r="B203" t="s">
        <v>605</v>
      </c>
      <c r="E203" t="s">
        <v>29</v>
      </c>
      <c r="F203">
        <v>104813700</v>
      </c>
      <c r="G203">
        <v>6</v>
      </c>
      <c r="H203">
        <v>3</v>
      </c>
      <c r="I203" t="s">
        <v>1144</v>
      </c>
      <c r="J203" t="b">
        <v>1</v>
      </c>
      <c r="K203" t="b">
        <v>1</v>
      </c>
      <c r="L203" t="b">
        <v>0</v>
      </c>
      <c r="N203" t="s">
        <v>594</v>
      </c>
      <c r="Q203" t="s">
        <v>848</v>
      </c>
      <c r="R203" t="s">
        <v>921</v>
      </c>
      <c r="S203">
        <v>7</v>
      </c>
      <c r="T203" t="s">
        <v>1196</v>
      </c>
      <c r="U203" s="18"/>
      <c r="V203" t="b">
        <f>IF(AND(Table_Trailer_Restock_JSON[[#This Row],[Is Geo Trailer Stock]]=FALSE,Table_Trailer_Restock_JSON[[#This Row],[Is Geo Case Stock]]=FALSE),FALSE,TRUE)</f>
        <v>1</v>
      </c>
    </row>
    <row r="204" spans="1:22" x14ac:dyDescent="0.45">
      <c r="A204">
        <v>243</v>
      </c>
      <c r="B204" t="s">
        <v>606</v>
      </c>
      <c r="E204" t="s">
        <v>505</v>
      </c>
      <c r="F204" t="s">
        <v>608</v>
      </c>
      <c r="G204">
        <v>10</v>
      </c>
      <c r="H204">
        <v>6</v>
      </c>
      <c r="I204" t="s">
        <v>1145</v>
      </c>
      <c r="J204" t="b">
        <v>1</v>
      </c>
      <c r="K204" t="b">
        <v>1</v>
      </c>
      <c r="L204" t="b">
        <v>0</v>
      </c>
      <c r="N204" t="s">
        <v>594</v>
      </c>
      <c r="Q204" t="s">
        <v>848</v>
      </c>
      <c r="R204" t="s">
        <v>921</v>
      </c>
      <c r="S204">
        <v>8</v>
      </c>
      <c r="T204" t="s">
        <v>1196</v>
      </c>
      <c r="U204" s="18"/>
      <c r="V204" t="b">
        <f>IF(AND(Table_Trailer_Restock_JSON[[#This Row],[Is Geo Trailer Stock]]=FALSE,Table_Trailer_Restock_JSON[[#This Row],[Is Geo Case Stock]]=FALSE),FALSE,TRUE)</f>
        <v>1</v>
      </c>
    </row>
    <row r="205" spans="1:22" x14ac:dyDescent="0.45">
      <c r="A205">
        <v>244</v>
      </c>
      <c r="B205" t="s">
        <v>609</v>
      </c>
      <c r="E205" t="s">
        <v>505</v>
      </c>
      <c r="F205" t="s">
        <v>611</v>
      </c>
      <c r="G205">
        <v>1</v>
      </c>
      <c r="I205" t="s">
        <v>1146</v>
      </c>
      <c r="J205" t="b">
        <v>1</v>
      </c>
      <c r="K205" t="b">
        <v>1</v>
      </c>
      <c r="L205" t="b">
        <v>0</v>
      </c>
      <c r="N205" t="s">
        <v>594</v>
      </c>
      <c r="Q205" t="s">
        <v>848</v>
      </c>
      <c r="R205" t="s">
        <v>921</v>
      </c>
      <c r="S205">
        <v>9</v>
      </c>
      <c r="T205" t="s">
        <v>1196</v>
      </c>
      <c r="U205" s="18"/>
      <c r="V205" t="b">
        <f>IF(AND(Table_Trailer_Restock_JSON[[#This Row],[Is Geo Trailer Stock]]=FALSE,Table_Trailer_Restock_JSON[[#This Row],[Is Geo Case Stock]]=FALSE),FALSE,TRUE)</f>
        <v>1</v>
      </c>
    </row>
    <row r="206" spans="1:22" x14ac:dyDescent="0.45">
      <c r="A206">
        <v>245</v>
      </c>
      <c r="B206" t="s">
        <v>612</v>
      </c>
      <c r="E206" t="s">
        <v>29</v>
      </c>
      <c r="F206">
        <v>1004307679</v>
      </c>
      <c r="G206">
        <v>6</v>
      </c>
      <c r="H206">
        <v>6</v>
      </c>
      <c r="I206" t="s">
        <v>1147</v>
      </c>
      <c r="J206" t="b">
        <v>1</v>
      </c>
      <c r="K206" t="b">
        <v>1</v>
      </c>
      <c r="L206" t="b">
        <v>0</v>
      </c>
      <c r="N206" t="s">
        <v>594</v>
      </c>
      <c r="Q206" t="s">
        <v>848</v>
      </c>
      <c r="R206" t="s">
        <v>921</v>
      </c>
      <c r="S206">
        <v>10</v>
      </c>
      <c r="T206" t="s">
        <v>1196</v>
      </c>
      <c r="U206" s="18"/>
      <c r="V206" t="b">
        <f>IF(AND(Table_Trailer_Restock_JSON[[#This Row],[Is Geo Trailer Stock]]=FALSE,Table_Trailer_Restock_JSON[[#This Row],[Is Geo Case Stock]]=FALSE),FALSE,TRUE)</f>
        <v>1</v>
      </c>
    </row>
    <row r="207" spans="1:22" x14ac:dyDescent="0.45">
      <c r="A207">
        <v>246</v>
      </c>
      <c r="B207" t="s">
        <v>614</v>
      </c>
      <c r="E207" t="s">
        <v>596</v>
      </c>
      <c r="G207">
        <v>1</v>
      </c>
      <c r="I207" t="s">
        <v>1148</v>
      </c>
      <c r="J207" t="b">
        <v>1</v>
      </c>
      <c r="K207" t="b">
        <v>1</v>
      </c>
      <c r="L207" t="b">
        <v>0</v>
      </c>
      <c r="N207" t="s">
        <v>594</v>
      </c>
      <c r="Q207" t="s">
        <v>848</v>
      </c>
      <c r="R207" t="s">
        <v>921</v>
      </c>
      <c r="S207">
        <v>11</v>
      </c>
      <c r="T207" t="s">
        <v>1196</v>
      </c>
      <c r="U207" s="18"/>
      <c r="V207" t="b">
        <f>IF(AND(Table_Trailer_Restock_JSON[[#This Row],[Is Geo Trailer Stock]]=FALSE,Table_Trailer_Restock_JSON[[#This Row],[Is Geo Case Stock]]=FALSE),FALSE,TRUE)</f>
        <v>1</v>
      </c>
    </row>
    <row r="208" spans="1:22" x14ac:dyDescent="0.45">
      <c r="A208">
        <v>247</v>
      </c>
      <c r="B208" t="s">
        <v>615</v>
      </c>
      <c r="E208" t="s">
        <v>596</v>
      </c>
      <c r="G208">
        <v>1</v>
      </c>
      <c r="I208" t="s">
        <v>1149</v>
      </c>
      <c r="J208" t="b">
        <v>1</v>
      </c>
      <c r="K208" t="b">
        <v>1</v>
      </c>
      <c r="L208" t="b">
        <v>0</v>
      </c>
      <c r="N208" t="s">
        <v>594</v>
      </c>
      <c r="Q208" t="s">
        <v>848</v>
      </c>
      <c r="R208" t="s">
        <v>921</v>
      </c>
      <c r="S208">
        <v>12</v>
      </c>
      <c r="T208" t="s">
        <v>1196</v>
      </c>
      <c r="U208" s="18"/>
      <c r="V208" t="b">
        <f>IF(AND(Table_Trailer_Restock_JSON[[#This Row],[Is Geo Trailer Stock]]=FALSE,Table_Trailer_Restock_JSON[[#This Row],[Is Geo Case Stock]]=FALSE),FALSE,TRUE)</f>
        <v>1</v>
      </c>
    </row>
    <row r="209" spans="1:22" x14ac:dyDescent="0.45">
      <c r="A209">
        <v>248</v>
      </c>
      <c r="B209" t="s">
        <v>616</v>
      </c>
      <c r="E209" t="s">
        <v>29</v>
      </c>
      <c r="F209" t="s">
        <v>617</v>
      </c>
      <c r="G209">
        <v>6</v>
      </c>
      <c r="H209">
        <v>6</v>
      </c>
      <c r="I209" t="s">
        <v>1150</v>
      </c>
      <c r="J209" t="b">
        <v>1</v>
      </c>
      <c r="K209" t="b">
        <v>1</v>
      </c>
      <c r="L209" t="b">
        <v>0</v>
      </c>
      <c r="N209" t="s">
        <v>594</v>
      </c>
      <c r="Q209" t="s">
        <v>848</v>
      </c>
      <c r="R209" t="s">
        <v>921</v>
      </c>
      <c r="S209">
        <v>13</v>
      </c>
      <c r="T209" t="s">
        <v>1196</v>
      </c>
      <c r="U209" s="18"/>
      <c r="V209" t="b">
        <f>IF(AND(Table_Trailer_Restock_JSON[[#This Row],[Is Geo Trailer Stock]]=FALSE,Table_Trailer_Restock_JSON[[#This Row],[Is Geo Case Stock]]=FALSE),FALSE,TRUE)</f>
        <v>1</v>
      </c>
    </row>
    <row r="210" spans="1:22" x14ac:dyDescent="0.45">
      <c r="A210">
        <v>249</v>
      </c>
      <c r="B210" t="s">
        <v>618</v>
      </c>
      <c r="E210" t="s">
        <v>40</v>
      </c>
      <c r="F210" t="s">
        <v>621</v>
      </c>
      <c r="G210">
        <v>4</v>
      </c>
      <c r="H210">
        <v>4</v>
      </c>
      <c r="I210" t="s">
        <v>1151</v>
      </c>
      <c r="J210" t="b">
        <v>1</v>
      </c>
      <c r="K210" t="b">
        <v>1</v>
      </c>
      <c r="L210" t="b">
        <v>0</v>
      </c>
      <c r="N210" t="s">
        <v>619</v>
      </c>
      <c r="Q210" t="s">
        <v>848</v>
      </c>
      <c r="R210" t="s">
        <v>923</v>
      </c>
      <c r="S210">
        <v>1</v>
      </c>
      <c r="T210" t="s">
        <v>1197</v>
      </c>
      <c r="U210" s="18"/>
      <c r="V210" t="b">
        <f>IF(AND(Table_Trailer_Restock_JSON[[#This Row],[Is Geo Trailer Stock]]=FALSE,Table_Trailer_Restock_JSON[[#This Row],[Is Geo Case Stock]]=FALSE),FALSE,TRUE)</f>
        <v>1</v>
      </c>
    </row>
    <row r="211" spans="1:22" x14ac:dyDescent="0.45">
      <c r="A211">
        <v>250</v>
      </c>
      <c r="B211" t="s">
        <v>622</v>
      </c>
      <c r="E211" t="s">
        <v>494</v>
      </c>
      <c r="G211" t="s">
        <v>115</v>
      </c>
      <c r="H211" t="s">
        <v>115</v>
      </c>
      <c r="I211" t="s">
        <v>1152</v>
      </c>
      <c r="J211" t="b">
        <v>1</v>
      </c>
      <c r="K211" t="b">
        <v>1</v>
      </c>
      <c r="L211" t="b">
        <v>0</v>
      </c>
      <c r="N211" t="s">
        <v>619</v>
      </c>
      <c r="O211" t="s">
        <v>891</v>
      </c>
      <c r="P211" t="s">
        <v>868</v>
      </c>
      <c r="Q211" t="s">
        <v>870</v>
      </c>
      <c r="R211" t="s">
        <v>923</v>
      </c>
      <c r="S211">
        <v>2</v>
      </c>
      <c r="T211" t="s">
        <v>1197</v>
      </c>
      <c r="U211" s="18"/>
      <c r="V211" t="b">
        <f>IF(AND(Table_Trailer_Restock_JSON[[#This Row],[Is Geo Trailer Stock]]=FALSE,Table_Trailer_Restock_JSON[[#This Row],[Is Geo Case Stock]]=FALSE),FALSE,TRUE)</f>
        <v>1</v>
      </c>
    </row>
    <row r="212" spans="1:22" x14ac:dyDescent="0.45">
      <c r="A212">
        <v>251</v>
      </c>
      <c r="B212" t="s">
        <v>623</v>
      </c>
      <c r="E212" t="s">
        <v>494</v>
      </c>
      <c r="G212" t="s">
        <v>115</v>
      </c>
      <c r="H212" t="s">
        <v>115</v>
      </c>
      <c r="I212" t="s">
        <v>1153</v>
      </c>
      <c r="J212" t="b">
        <v>1</v>
      </c>
      <c r="K212" t="b">
        <v>1</v>
      </c>
      <c r="L212" t="b">
        <v>0</v>
      </c>
      <c r="N212" t="s">
        <v>619</v>
      </c>
      <c r="O212" t="s">
        <v>891</v>
      </c>
      <c r="P212" t="s">
        <v>868</v>
      </c>
      <c r="Q212" t="s">
        <v>870</v>
      </c>
      <c r="R212" t="s">
        <v>923</v>
      </c>
      <c r="S212">
        <v>3</v>
      </c>
      <c r="T212" t="s">
        <v>1197</v>
      </c>
      <c r="U212" s="18"/>
      <c r="V212" t="b">
        <f>IF(AND(Table_Trailer_Restock_JSON[[#This Row],[Is Geo Trailer Stock]]=FALSE,Table_Trailer_Restock_JSON[[#This Row],[Is Geo Case Stock]]=FALSE),FALSE,TRUE)</f>
        <v>1</v>
      </c>
    </row>
    <row r="213" spans="1:22" x14ac:dyDescent="0.45">
      <c r="A213">
        <v>252</v>
      </c>
      <c r="B213" t="s">
        <v>624</v>
      </c>
      <c r="E213" t="s">
        <v>494</v>
      </c>
      <c r="G213" t="s">
        <v>115</v>
      </c>
      <c r="H213" t="s">
        <v>115</v>
      </c>
      <c r="I213" t="s">
        <v>1154</v>
      </c>
      <c r="J213" t="b">
        <v>1</v>
      </c>
      <c r="K213" t="b">
        <v>1</v>
      </c>
      <c r="L213" t="b">
        <v>0</v>
      </c>
      <c r="N213" t="s">
        <v>619</v>
      </c>
      <c r="O213" t="s">
        <v>891</v>
      </c>
      <c r="P213" t="s">
        <v>868</v>
      </c>
      <c r="Q213" t="s">
        <v>870</v>
      </c>
      <c r="R213" t="s">
        <v>923</v>
      </c>
      <c r="S213">
        <v>4</v>
      </c>
      <c r="T213" t="s">
        <v>1197</v>
      </c>
      <c r="U213" s="18"/>
      <c r="V213" t="b">
        <f>IF(AND(Table_Trailer_Restock_JSON[[#This Row],[Is Geo Trailer Stock]]=FALSE,Table_Trailer_Restock_JSON[[#This Row],[Is Geo Case Stock]]=FALSE),FALSE,TRUE)</f>
        <v>1</v>
      </c>
    </row>
    <row r="214" spans="1:22" x14ac:dyDescent="0.45">
      <c r="A214">
        <v>253</v>
      </c>
      <c r="B214" t="s">
        <v>625</v>
      </c>
      <c r="E214" t="s">
        <v>494</v>
      </c>
      <c r="G214" t="s">
        <v>627</v>
      </c>
      <c r="H214" t="s">
        <v>115</v>
      </c>
      <c r="I214" t="s">
        <v>1155</v>
      </c>
      <c r="J214" t="b">
        <v>1</v>
      </c>
      <c r="K214" t="b">
        <v>1</v>
      </c>
      <c r="L214" t="b">
        <v>0</v>
      </c>
      <c r="N214" t="s">
        <v>619</v>
      </c>
      <c r="O214" t="s">
        <v>891</v>
      </c>
      <c r="P214" t="s">
        <v>868</v>
      </c>
      <c r="Q214" t="s">
        <v>870</v>
      </c>
      <c r="R214" t="s">
        <v>923</v>
      </c>
      <c r="S214">
        <v>5</v>
      </c>
      <c r="T214" t="s">
        <v>1197</v>
      </c>
      <c r="U214" s="18"/>
      <c r="V214" t="b">
        <f>IF(AND(Table_Trailer_Restock_JSON[[#This Row],[Is Geo Trailer Stock]]=FALSE,Table_Trailer_Restock_JSON[[#This Row],[Is Geo Case Stock]]=FALSE),FALSE,TRUE)</f>
        <v>1</v>
      </c>
    </row>
    <row r="215" spans="1:22" x14ac:dyDescent="0.45">
      <c r="A215">
        <v>254</v>
      </c>
      <c r="B215" t="s">
        <v>628</v>
      </c>
      <c r="E215" t="s">
        <v>29</v>
      </c>
      <c r="F215">
        <v>526445</v>
      </c>
      <c r="G215" t="s">
        <v>630</v>
      </c>
      <c r="H215" t="s">
        <v>630</v>
      </c>
      <c r="I215" t="s">
        <v>1156</v>
      </c>
      <c r="J215" t="b">
        <v>1</v>
      </c>
      <c r="K215" t="b">
        <v>1</v>
      </c>
      <c r="L215" t="b">
        <v>0</v>
      </c>
      <c r="N215" t="s">
        <v>619</v>
      </c>
      <c r="Q215" t="s">
        <v>848</v>
      </c>
      <c r="R215" t="s">
        <v>923</v>
      </c>
      <c r="S215">
        <v>6</v>
      </c>
      <c r="T215" t="s">
        <v>1197</v>
      </c>
      <c r="U215" s="18"/>
      <c r="V215" t="b">
        <f>IF(AND(Table_Trailer_Restock_JSON[[#This Row],[Is Geo Trailer Stock]]=FALSE,Table_Trailer_Restock_JSON[[#This Row],[Is Geo Case Stock]]=FALSE),FALSE,TRUE)</f>
        <v>1</v>
      </c>
    </row>
    <row r="216" spans="1:22" x14ac:dyDescent="0.45">
      <c r="A216">
        <v>255</v>
      </c>
      <c r="B216" t="s">
        <v>631</v>
      </c>
      <c r="E216" t="s">
        <v>29</v>
      </c>
      <c r="F216">
        <v>748726</v>
      </c>
      <c r="G216" t="s">
        <v>632</v>
      </c>
      <c r="H216" t="s">
        <v>632</v>
      </c>
      <c r="I216" t="s">
        <v>1157</v>
      </c>
      <c r="J216" t="b">
        <v>1</v>
      </c>
      <c r="K216" t="b">
        <v>1</v>
      </c>
      <c r="L216" t="b">
        <v>0</v>
      </c>
      <c r="N216" t="s">
        <v>619</v>
      </c>
      <c r="O216" t="s">
        <v>1158</v>
      </c>
      <c r="P216" t="s">
        <v>1159</v>
      </c>
      <c r="Q216" t="s">
        <v>1160</v>
      </c>
      <c r="R216" t="s">
        <v>923</v>
      </c>
      <c r="S216">
        <v>7</v>
      </c>
      <c r="T216" t="s">
        <v>1197</v>
      </c>
      <c r="U216" s="18"/>
      <c r="V216" t="b">
        <f>IF(AND(Table_Trailer_Restock_JSON[[#This Row],[Is Geo Trailer Stock]]=FALSE,Table_Trailer_Restock_JSON[[#This Row],[Is Geo Case Stock]]=FALSE),FALSE,TRUE)</f>
        <v>1</v>
      </c>
    </row>
    <row r="217" spans="1:22" x14ac:dyDescent="0.45">
      <c r="A217">
        <v>256</v>
      </c>
      <c r="B217" t="s">
        <v>633</v>
      </c>
      <c r="E217" t="s">
        <v>29</v>
      </c>
      <c r="F217">
        <v>748780</v>
      </c>
      <c r="G217" t="s">
        <v>632</v>
      </c>
      <c r="H217" t="s">
        <v>632</v>
      </c>
      <c r="I217" t="s">
        <v>1161</v>
      </c>
      <c r="J217" t="b">
        <v>1</v>
      </c>
      <c r="K217" t="b">
        <v>1</v>
      </c>
      <c r="L217" t="b">
        <v>0</v>
      </c>
      <c r="N217" t="s">
        <v>619</v>
      </c>
      <c r="O217" t="s">
        <v>1158</v>
      </c>
      <c r="P217" t="s">
        <v>1159</v>
      </c>
      <c r="Q217" t="s">
        <v>1160</v>
      </c>
      <c r="R217" t="s">
        <v>923</v>
      </c>
      <c r="S217">
        <v>8</v>
      </c>
      <c r="T217" t="s">
        <v>1197</v>
      </c>
      <c r="U217" s="18"/>
      <c r="V217" t="b">
        <f>IF(AND(Table_Trailer_Restock_JSON[[#This Row],[Is Geo Trailer Stock]]=FALSE,Table_Trailer_Restock_JSON[[#This Row],[Is Geo Case Stock]]=FALSE),FALSE,TRUE)</f>
        <v>1</v>
      </c>
    </row>
    <row r="218" spans="1:22" x14ac:dyDescent="0.45">
      <c r="A218">
        <v>257</v>
      </c>
      <c r="B218" t="s">
        <v>635</v>
      </c>
      <c r="G218" t="s">
        <v>632</v>
      </c>
      <c r="H218" t="s">
        <v>632</v>
      </c>
      <c r="I218" t="s">
        <v>1162</v>
      </c>
      <c r="J218" t="b">
        <v>1</v>
      </c>
      <c r="K218" t="b">
        <v>1</v>
      </c>
      <c r="L218" t="b">
        <v>0</v>
      </c>
      <c r="N218" t="s">
        <v>619</v>
      </c>
      <c r="Q218" t="s">
        <v>848</v>
      </c>
      <c r="R218" t="s">
        <v>923</v>
      </c>
      <c r="S218">
        <v>9</v>
      </c>
      <c r="T218" t="s">
        <v>1197</v>
      </c>
      <c r="U218" s="18"/>
      <c r="V218" t="b">
        <f>IF(AND(Table_Trailer_Restock_JSON[[#This Row],[Is Geo Trailer Stock]]=FALSE,Table_Trailer_Restock_JSON[[#This Row],[Is Geo Case Stock]]=FALSE),FALSE,TRUE)</f>
        <v>1</v>
      </c>
    </row>
    <row r="219" spans="1:22" x14ac:dyDescent="0.45">
      <c r="A219">
        <v>258</v>
      </c>
      <c r="B219" t="s">
        <v>637</v>
      </c>
      <c r="E219" t="s">
        <v>29</v>
      </c>
      <c r="F219">
        <v>172634</v>
      </c>
      <c r="G219" t="s">
        <v>639</v>
      </c>
      <c r="H219" t="s">
        <v>639</v>
      </c>
      <c r="I219" t="s">
        <v>1163</v>
      </c>
      <c r="J219" t="b">
        <v>1</v>
      </c>
      <c r="K219" t="b">
        <v>1</v>
      </c>
      <c r="L219" t="b">
        <v>0</v>
      </c>
      <c r="N219" t="s">
        <v>619</v>
      </c>
      <c r="Q219" t="s">
        <v>848</v>
      </c>
      <c r="R219" t="s">
        <v>923</v>
      </c>
      <c r="S219">
        <v>10</v>
      </c>
      <c r="T219" t="s">
        <v>1197</v>
      </c>
      <c r="U219" s="18"/>
      <c r="V219" t="b">
        <f>IF(AND(Table_Trailer_Restock_JSON[[#This Row],[Is Geo Trailer Stock]]=FALSE,Table_Trailer_Restock_JSON[[#This Row],[Is Geo Case Stock]]=FALSE),FALSE,TRUE)</f>
        <v>1</v>
      </c>
    </row>
    <row r="220" spans="1:22" x14ac:dyDescent="0.45">
      <c r="A220">
        <v>186</v>
      </c>
      <c r="B220" t="s">
        <v>481</v>
      </c>
      <c r="E220" t="s">
        <v>29</v>
      </c>
      <c r="F220">
        <v>1001801632</v>
      </c>
      <c r="G220">
        <v>10</v>
      </c>
      <c r="H220">
        <v>9</v>
      </c>
      <c r="I220" t="s">
        <v>1088</v>
      </c>
      <c r="J220" t="b">
        <v>1</v>
      </c>
      <c r="K220" t="b">
        <v>1</v>
      </c>
      <c r="L220" t="b">
        <v>0</v>
      </c>
      <c r="N220" t="s">
        <v>916</v>
      </c>
      <c r="Q220" t="s">
        <v>848</v>
      </c>
      <c r="R220" t="s">
        <v>915</v>
      </c>
      <c r="S220">
        <v>1</v>
      </c>
      <c r="T220" t="s">
        <v>1198</v>
      </c>
      <c r="U220" s="18"/>
      <c r="V220" t="b">
        <f>IF(AND(Table_Trailer_Restock_JSON[[#This Row],[Is Geo Trailer Stock]]=FALSE,Table_Trailer_Restock_JSON[[#This Row],[Is Geo Case Stock]]=FALSE),FALSE,TRUE)</f>
        <v>1</v>
      </c>
    </row>
    <row r="221" spans="1:22" x14ac:dyDescent="0.45">
      <c r="A221">
        <v>187</v>
      </c>
      <c r="B221" t="s">
        <v>485</v>
      </c>
      <c r="E221" t="s">
        <v>29</v>
      </c>
      <c r="F221">
        <v>1004676283</v>
      </c>
      <c r="G221">
        <v>12</v>
      </c>
      <c r="H221">
        <v>9</v>
      </c>
      <c r="I221" t="s">
        <v>1089</v>
      </c>
      <c r="J221" t="b">
        <v>1</v>
      </c>
      <c r="K221" t="b">
        <v>1</v>
      </c>
      <c r="L221" t="b">
        <v>0</v>
      </c>
      <c r="N221" t="s">
        <v>916</v>
      </c>
      <c r="Q221" t="s">
        <v>848</v>
      </c>
      <c r="R221" t="s">
        <v>915</v>
      </c>
      <c r="S221">
        <v>2</v>
      </c>
      <c r="T221" t="s">
        <v>1198</v>
      </c>
      <c r="U221" s="18"/>
      <c r="V221" t="b">
        <f>IF(AND(Table_Trailer_Restock_JSON[[#This Row],[Is Geo Trailer Stock]]=FALSE,Table_Trailer_Restock_JSON[[#This Row],[Is Geo Case Stock]]=FALSE),FALSE,TRUE)</f>
        <v>1</v>
      </c>
    </row>
    <row r="222" spans="1:22" x14ac:dyDescent="0.45">
      <c r="A222">
        <v>188</v>
      </c>
      <c r="B222" t="s">
        <v>486</v>
      </c>
      <c r="E222" t="s">
        <v>29</v>
      </c>
      <c r="F222">
        <v>250355</v>
      </c>
      <c r="G222">
        <v>2</v>
      </c>
      <c r="H222">
        <v>1</v>
      </c>
      <c r="I222" t="s">
        <v>1090</v>
      </c>
      <c r="J222" t="b">
        <v>1</v>
      </c>
      <c r="K222" t="b">
        <v>1</v>
      </c>
      <c r="L222" t="b">
        <v>0</v>
      </c>
      <c r="N222" t="s">
        <v>916</v>
      </c>
      <c r="Q222" t="s">
        <v>848</v>
      </c>
      <c r="R222" t="s">
        <v>915</v>
      </c>
      <c r="S222">
        <v>3</v>
      </c>
      <c r="T222" t="s">
        <v>1198</v>
      </c>
      <c r="U222" s="18"/>
      <c r="V222" t="b">
        <f>IF(AND(Table_Trailer_Restock_JSON[[#This Row],[Is Geo Trailer Stock]]=FALSE,Table_Trailer_Restock_JSON[[#This Row],[Is Geo Case Stock]]=FALSE),FALSE,TRUE)</f>
        <v>1</v>
      </c>
    </row>
    <row r="223" spans="1:22" x14ac:dyDescent="0.45">
      <c r="A223">
        <v>189</v>
      </c>
      <c r="B223" t="s">
        <v>488</v>
      </c>
      <c r="E223" t="s">
        <v>101</v>
      </c>
      <c r="F223" t="s">
        <v>489</v>
      </c>
      <c r="G223">
        <v>20</v>
      </c>
      <c r="H223">
        <v>10</v>
      </c>
      <c r="I223" t="s">
        <v>1091</v>
      </c>
      <c r="J223" t="b">
        <v>1</v>
      </c>
      <c r="K223" t="b">
        <v>1</v>
      </c>
      <c r="L223" t="b">
        <v>0</v>
      </c>
      <c r="N223" t="s">
        <v>916</v>
      </c>
      <c r="Q223" t="s">
        <v>848</v>
      </c>
      <c r="R223" t="s">
        <v>915</v>
      </c>
      <c r="S223">
        <v>4</v>
      </c>
      <c r="T223" t="s">
        <v>1198</v>
      </c>
      <c r="U223" s="18"/>
      <c r="V223" t="b">
        <f>IF(AND(Table_Trailer_Restock_JSON[[#This Row],[Is Geo Trailer Stock]]=FALSE,Table_Trailer_Restock_JSON[[#This Row],[Is Geo Case Stock]]=FALSE),FALSE,TRUE)</f>
        <v>1</v>
      </c>
    </row>
    <row r="224" spans="1:22" x14ac:dyDescent="0.45">
      <c r="A224">
        <v>190</v>
      </c>
      <c r="B224" t="s">
        <v>490</v>
      </c>
      <c r="E224" t="s">
        <v>40</v>
      </c>
      <c r="F224">
        <v>30712</v>
      </c>
      <c r="G224">
        <v>3</v>
      </c>
      <c r="H224">
        <v>3</v>
      </c>
      <c r="I224" t="s">
        <v>1092</v>
      </c>
      <c r="J224" t="b">
        <v>1</v>
      </c>
      <c r="K224" t="b">
        <v>1</v>
      </c>
      <c r="L224" t="b">
        <v>0</v>
      </c>
      <c r="N224" t="s">
        <v>916</v>
      </c>
      <c r="Q224" t="s">
        <v>848</v>
      </c>
      <c r="R224" t="s">
        <v>915</v>
      </c>
      <c r="S224">
        <v>5</v>
      </c>
      <c r="T224" t="s">
        <v>1198</v>
      </c>
      <c r="U224" s="18"/>
      <c r="V224" t="b">
        <f>IF(AND(Table_Trailer_Restock_JSON[[#This Row],[Is Geo Trailer Stock]]=FALSE,Table_Trailer_Restock_JSON[[#This Row],[Is Geo Case Stock]]=FALSE),FALSE,TRUE)</f>
        <v>1</v>
      </c>
    </row>
    <row r="225" spans="1:22" x14ac:dyDescent="0.45">
      <c r="A225">
        <v>191</v>
      </c>
      <c r="B225" t="s">
        <v>492</v>
      </c>
      <c r="E225" t="s">
        <v>494</v>
      </c>
      <c r="F225" t="s">
        <v>495</v>
      </c>
      <c r="G225">
        <v>1</v>
      </c>
      <c r="H225">
        <v>3</v>
      </c>
      <c r="I225" t="s">
        <v>1093</v>
      </c>
      <c r="J225" t="b">
        <v>1</v>
      </c>
      <c r="K225" t="b">
        <v>1</v>
      </c>
      <c r="L225" t="b">
        <v>0</v>
      </c>
      <c r="N225" t="s">
        <v>916</v>
      </c>
      <c r="Q225" t="s">
        <v>848</v>
      </c>
      <c r="R225" t="s">
        <v>915</v>
      </c>
      <c r="S225">
        <v>6</v>
      </c>
      <c r="T225" t="s">
        <v>1198</v>
      </c>
      <c r="U225" s="18"/>
      <c r="V225" t="b">
        <f>IF(AND(Table_Trailer_Restock_JSON[[#This Row],[Is Geo Trailer Stock]]=FALSE,Table_Trailer_Restock_JSON[[#This Row],[Is Geo Case Stock]]=FALSE),FALSE,TRUE)</f>
        <v>1</v>
      </c>
    </row>
    <row r="226" spans="1:22" x14ac:dyDescent="0.45">
      <c r="A226">
        <v>192</v>
      </c>
      <c r="B226" t="s">
        <v>496</v>
      </c>
      <c r="E226" t="s">
        <v>40</v>
      </c>
      <c r="F226" t="s">
        <v>497</v>
      </c>
      <c r="G226">
        <v>10</v>
      </c>
      <c r="H226">
        <v>3</v>
      </c>
      <c r="I226" t="s">
        <v>1094</v>
      </c>
      <c r="J226" t="b">
        <v>1</v>
      </c>
      <c r="K226" t="b">
        <v>1</v>
      </c>
      <c r="L226" t="b">
        <v>0</v>
      </c>
      <c r="N226" t="s">
        <v>916</v>
      </c>
      <c r="Q226" t="s">
        <v>848</v>
      </c>
      <c r="R226" t="s">
        <v>915</v>
      </c>
      <c r="S226">
        <v>7</v>
      </c>
      <c r="T226" t="s">
        <v>1198</v>
      </c>
      <c r="U226" s="18"/>
      <c r="V226" t="b">
        <f>IF(AND(Table_Trailer_Restock_JSON[[#This Row],[Is Geo Trailer Stock]]=FALSE,Table_Trailer_Restock_JSON[[#This Row],[Is Geo Case Stock]]=FALSE),FALSE,TRUE)</f>
        <v>1</v>
      </c>
    </row>
    <row r="227" spans="1:22" x14ac:dyDescent="0.45">
      <c r="A227">
        <v>193</v>
      </c>
      <c r="B227" t="s">
        <v>498</v>
      </c>
      <c r="E227" t="s">
        <v>29</v>
      </c>
      <c r="F227">
        <v>759837</v>
      </c>
      <c r="G227">
        <v>6</v>
      </c>
      <c r="H227">
        <v>3</v>
      </c>
      <c r="I227" t="s">
        <v>1095</v>
      </c>
      <c r="J227" t="b">
        <v>1</v>
      </c>
      <c r="K227" t="b">
        <v>1</v>
      </c>
      <c r="L227" t="b">
        <v>0</v>
      </c>
      <c r="N227" t="s">
        <v>916</v>
      </c>
      <c r="Q227" t="s">
        <v>848</v>
      </c>
      <c r="R227" t="s">
        <v>915</v>
      </c>
      <c r="S227">
        <v>8</v>
      </c>
      <c r="T227" t="s">
        <v>1198</v>
      </c>
      <c r="U227" s="18"/>
      <c r="V227" t="b">
        <f>IF(AND(Table_Trailer_Restock_JSON[[#This Row],[Is Geo Trailer Stock]]=FALSE,Table_Trailer_Restock_JSON[[#This Row],[Is Geo Case Stock]]=FALSE),FALSE,TRUE)</f>
        <v>1</v>
      </c>
    </row>
    <row r="228" spans="1:22" x14ac:dyDescent="0.45">
      <c r="A228">
        <v>194</v>
      </c>
      <c r="B228" t="s">
        <v>502</v>
      </c>
      <c r="G228">
        <v>4</v>
      </c>
      <c r="H228">
        <v>4</v>
      </c>
      <c r="I228" t="s">
        <v>1096</v>
      </c>
      <c r="J228" t="b">
        <v>1</v>
      </c>
      <c r="K228" t="b">
        <v>1</v>
      </c>
      <c r="L228" t="b">
        <v>0</v>
      </c>
      <c r="N228" t="s">
        <v>916</v>
      </c>
      <c r="Q228" t="s">
        <v>848</v>
      </c>
      <c r="R228" t="s">
        <v>915</v>
      </c>
      <c r="S228">
        <v>9</v>
      </c>
      <c r="T228" t="s">
        <v>1198</v>
      </c>
      <c r="U228" s="18"/>
      <c r="V228" t="b">
        <f>IF(AND(Table_Trailer_Restock_JSON[[#This Row],[Is Geo Trailer Stock]]=FALSE,Table_Trailer_Restock_JSON[[#This Row],[Is Geo Case Stock]]=FALSE),FALSE,TRUE)</f>
        <v>1</v>
      </c>
    </row>
    <row r="229" spans="1:22" x14ac:dyDescent="0.45">
      <c r="A229">
        <v>195</v>
      </c>
      <c r="B229" t="s">
        <v>503</v>
      </c>
      <c r="E229" t="s">
        <v>505</v>
      </c>
      <c r="F229" t="s">
        <v>506</v>
      </c>
      <c r="G229">
        <v>1</v>
      </c>
      <c r="I229" t="s">
        <v>1097</v>
      </c>
      <c r="J229" t="b">
        <v>1</v>
      </c>
      <c r="K229" t="b">
        <v>1</v>
      </c>
      <c r="L229" t="b">
        <v>0</v>
      </c>
      <c r="N229" t="s">
        <v>916</v>
      </c>
      <c r="Q229" t="s">
        <v>848</v>
      </c>
      <c r="R229" t="s">
        <v>915</v>
      </c>
      <c r="S229">
        <v>10</v>
      </c>
      <c r="T229" t="s">
        <v>1198</v>
      </c>
      <c r="U229" s="18"/>
      <c r="V229" t="b">
        <f>IF(AND(Table_Trailer_Restock_JSON[[#This Row],[Is Geo Trailer Stock]]=FALSE,Table_Trailer_Restock_JSON[[#This Row],[Is Geo Case Stock]]=FALSE),FALSE,TRUE)</f>
        <v>1</v>
      </c>
    </row>
    <row r="230" spans="1:22" x14ac:dyDescent="0.45">
      <c r="A230">
        <v>196</v>
      </c>
      <c r="B230" t="s">
        <v>507</v>
      </c>
      <c r="E230" t="s">
        <v>29</v>
      </c>
      <c r="F230">
        <v>602226</v>
      </c>
      <c r="G230">
        <v>1</v>
      </c>
      <c r="H230">
        <v>3</v>
      </c>
      <c r="I230" t="s">
        <v>1098</v>
      </c>
      <c r="J230" t="b">
        <v>1</v>
      </c>
      <c r="K230" t="b">
        <v>1</v>
      </c>
      <c r="L230" t="b">
        <v>0</v>
      </c>
      <c r="N230" t="s">
        <v>916</v>
      </c>
      <c r="Q230" t="s">
        <v>848</v>
      </c>
      <c r="R230" t="s">
        <v>915</v>
      </c>
      <c r="S230">
        <v>11</v>
      </c>
      <c r="T230" t="s">
        <v>1198</v>
      </c>
      <c r="U230" s="18"/>
      <c r="V230" t="b">
        <f>IF(AND(Table_Trailer_Restock_JSON[[#This Row],[Is Geo Trailer Stock]]=FALSE,Table_Trailer_Restock_JSON[[#This Row],[Is Geo Case Stock]]=FALSE),FALSE,TRUE)</f>
        <v>1</v>
      </c>
    </row>
    <row r="231" spans="1:22" x14ac:dyDescent="0.45">
      <c r="A231">
        <v>197</v>
      </c>
      <c r="B231" t="s">
        <v>508</v>
      </c>
      <c r="E231" t="s">
        <v>29</v>
      </c>
      <c r="F231">
        <v>313610646</v>
      </c>
      <c r="G231">
        <v>25</v>
      </c>
      <c r="H231">
        <v>10</v>
      </c>
      <c r="I231" t="s">
        <v>1099</v>
      </c>
      <c r="J231" t="b">
        <v>1</v>
      </c>
      <c r="K231" t="b">
        <v>1</v>
      </c>
      <c r="L231" t="b">
        <v>0</v>
      </c>
      <c r="N231" t="s">
        <v>916</v>
      </c>
      <c r="Q231" t="s">
        <v>848</v>
      </c>
      <c r="R231" t="s">
        <v>915</v>
      </c>
      <c r="S231">
        <v>12</v>
      </c>
      <c r="T231" t="s">
        <v>1198</v>
      </c>
      <c r="U231" s="18"/>
      <c r="V231" t="b">
        <f>IF(AND(Table_Trailer_Restock_JSON[[#This Row],[Is Geo Trailer Stock]]=FALSE,Table_Trailer_Restock_JSON[[#This Row],[Is Geo Case Stock]]=FALSE),FALSE,TRUE)</f>
        <v>1</v>
      </c>
    </row>
    <row r="232" spans="1:22" x14ac:dyDescent="0.45">
      <c r="A232">
        <v>198</v>
      </c>
      <c r="B232" t="s">
        <v>511</v>
      </c>
      <c r="E232" t="s">
        <v>505</v>
      </c>
      <c r="G232">
        <v>3</v>
      </c>
      <c r="H232">
        <v>3</v>
      </c>
      <c r="I232" t="s">
        <v>1100</v>
      </c>
      <c r="J232" t="b">
        <v>1</v>
      </c>
      <c r="K232" t="b">
        <v>1</v>
      </c>
      <c r="L232" t="b">
        <v>0</v>
      </c>
      <c r="N232" t="s">
        <v>916</v>
      </c>
      <c r="Q232" t="s">
        <v>848</v>
      </c>
      <c r="R232" t="s">
        <v>915</v>
      </c>
      <c r="S232">
        <v>13</v>
      </c>
      <c r="T232" t="s">
        <v>1198</v>
      </c>
      <c r="U232" s="18"/>
      <c r="V232" t="b">
        <f>IF(AND(Table_Trailer_Restock_JSON[[#This Row],[Is Geo Trailer Stock]]=FALSE,Table_Trailer_Restock_JSON[[#This Row],[Is Geo Case Stock]]=FALSE),FALSE,TRUE)</f>
        <v>1</v>
      </c>
    </row>
    <row r="233" spans="1:22" x14ac:dyDescent="0.45">
      <c r="A233">
        <v>199</v>
      </c>
      <c r="B233" t="s">
        <v>512</v>
      </c>
      <c r="E233" t="s">
        <v>29</v>
      </c>
      <c r="F233">
        <v>10222</v>
      </c>
      <c r="G233">
        <v>3</v>
      </c>
      <c r="H233">
        <v>3</v>
      </c>
      <c r="I233" t="s">
        <v>1101</v>
      </c>
      <c r="J233" t="b">
        <v>1</v>
      </c>
      <c r="K233" t="b">
        <v>1</v>
      </c>
      <c r="L233" t="b">
        <v>0</v>
      </c>
      <c r="N233" t="s">
        <v>916</v>
      </c>
      <c r="Q233" t="s">
        <v>848</v>
      </c>
      <c r="R233" t="s">
        <v>915</v>
      </c>
      <c r="S233">
        <v>14</v>
      </c>
      <c r="T233" t="s">
        <v>1198</v>
      </c>
      <c r="U233" s="18"/>
      <c r="V233" t="b">
        <f>IF(AND(Table_Trailer_Restock_JSON[[#This Row],[Is Geo Trailer Stock]]=FALSE,Table_Trailer_Restock_JSON[[#This Row],[Is Geo Case Stock]]=FALSE),FALSE,TRUE)</f>
        <v>1</v>
      </c>
    </row>
    <row r="234" spans="1:22" x14ac:dyDescent="0.45">
      <c r="A234">
        <v>200</v>
      </c>
      <c r="B234" t="s">
        <v>513</v>
      </c>
      <c r="E234" t="s">
        <v>505</v>
      </c>
      <c r="F234" t="s">
        <v>514</v>
      </c>
      <c r="G234">
        <v>25</v>
      </c>
      <c r="H234">
        <v>10</v>
      </c>
      <c r="I234" t="s">
        <v>1102</v>
      </c>
      <c r="J234" t="b">
        <v>1</v>
      </c>
      <c r="K234" t="b">
        <v>1</v>
      </c>
      <c r="L234" t="b">
        <v>0</v>
      </c>
      <c r="N234" t="s">
        <v>916</v>
      </c>
      <c r="Q234" t="s">
        <v>848</v>
      </c>
      <c r="R234" t="s">
        <v>915</v>
      </c>
      <c r="S234">
        <v>15</v>
      </c>
      <c r="T234" t="s">
        <v>1198</v>
      </c>
      <c r="U234" s="18"/>
      <c r="V234" t="b">
        <f>IF(AND(Table_Trailer_Restock_JSON[[#This Row],[Is Geo Trailer Stock]]=FALSE,Table_Trailer_Restock_JSON[[#This Row],[Is Geo Case Stock]]=FALSE),FALSE,TRUE)</f>
        <v>1</v>
      </c>
    </row>
    <row r="235" spans="1:22" x14ac:dyDescent="0.45">
      <c r="A235">
        <v>201</v>
      </c>
      <c r="B235" t="s">
        <v>515</v>
      </c>
      <c r="E235" t="s">
        <v>40</v>
      </c>
      <c r="F235">
        <v>60003</v>
      </c>
      <c r="G235">
        <v>3</v>
      </c>
      <c r="H235">
        <v>3</v>
      </c>
      <c r="I235" t="s">
        <v>1103</v>
      </c>
      <c r="J235" t="b">
        <v>1</v>
      </c>
      <c r="K235" t="b">
        <v>1</v>
      </c>
      <c r="L235" t="b">
        <v>0</v>
      </c>
      <c r="N235" t="s">
        <v>916</v>
      </c>
      <c r="Q235" t="s">
        <v>848</v>
      </c>
      <c r="R235" t="s">
        <v>915</v>
      </c>
      <c r="S235">
        <v>16</v>
      </c>
      <c r="T235" t="s">
        <v>1198</v>
      </c>
      <c r="U235" s="18"/>
      <c r="V235" t="b">
        <f>IF(AND(Table_Trailer_Restock_JSON[[#This Row],[Is Geo Trailer Stock]]=FALSE,Table_Trailer_Restock_JSON[[#This Row],[Is Geo Case Stock]]=FALSE),FALSE,TRUE)</f>
        <v>1</v>
      </c>
    </row>
    <row r="236" spans="1:22" x14ac:dyDescent="0.45">
      <c r="A236">
        <v>202</v>
      </c>
      <c r="B236" t="s">
        <v>516</v>
      </c>
      <c r="E236" t="s">
        <v>40</v>
      </c>
      <c r="F236">
        <v>60453</v>
      </c>
      <c r="G236">
        <v>3</v>
      </c>
      <c r="H236">
        <v>3</v>
      </c>
      <c r="I236" t="s">
        <v>1104</v>
      </c>
      <c r="J236" t="b">
        <v>1</v>
      </c>
      <c r="K236" t="b">
        <v>1</v>
      </c>
      <c r="L236" t="b">
        <v>0</v>
      </c>
      <c r="N236" t="s">
        <v>916</v>
      </c>
      <c r="Q236" t="s">
        <v>848</v>
      </c>
      <c r="R236" t="s">
        <v>915</v>
      </c>
      <c r="S236">
        <v>17</v>
      </c>
      <c r="T236" t="s">
        <v>1198</v>
      </c>
      <c r="U236" s="18"/>
      <c r="V236" t="b">
        <f>IF(AND(Table_Trailer_Restock_JSON[[#This Row],[Is Geo Trailer Stock]]=FALSE,Table_Trailer_Restock_JSON[[#This Row],[Is Geo Case Stock]]=FALSE),FALSE,TRUE)</f>
        <v>1</v>
      </c>
    </row>
    <row r="237" spans="1:22" x14ac:dyDescent="0.45">
      <c r="A237">
        <v>203</v>
      </c>
      <c r="B237" t="s">
        <v>517</v>
      </c>
      <c r="E237" t="s">
        <v>40</v>
      </c>
      <c r="F237">
        <v>31321</v>
      </c>
      <c r="G237">
        <v>1</v>
      </c>
      <c r="H237">
        <v>3</v>
      </c>
      <c r="I237" t="s">
        <v>1105</v>
      </c>
      <c r="J237" t="b">
        <v>1</v>
      </c>
      <c r="K237" t="b">
        <v>1</v>
      </c>
      <c r="L237" t="b">
        <v>0</v>
      </c>
      <c r="N237" t="s">
        <v>916</v>
      </c>
      <c r="Q237" t="s">
        <v>848</v>
      </c>
      <c r="R237" t="s">
        <v>915</v>
      </c>
      <c r="S237">
        <v>18</v>
      </c>
      <c r="T237" t="s">
        <v>1198</v>
      </c>
      <c r="U237" s="18"/>
      <c r="V237" t="b">
        <f>IF(AND(Table_Trailer_Restock_JSON[[#This Row],[Is Geo Trailer Stock]]=FALSE,Table_Trailer_Restock_JSON[[#This Row],[Is Geo Case Stock]]=FALSE),FALSE,TRUE)</f>
        <v>1</v>
      </c>
    </row>
    <row r="238" spans="1:22" x14ac:dyDescent="0.45">
      <c r="A238">
        <v>204</v>
      </c>
      <c r="B238" t="s">
        <v>519</v>
      </c>
      <c r="E238" t="s">
        <v>101</v>
      </c>
      <c r="F238" t="s">
        <v>521</v>
      </c>
      <c r="G238">
        <v>12</v>
      </c>
      <c r="H238">
        <v>3</v>
      </c>
      <c r="I238" t="s">
        <v>1106</v>
      </c>
      <c r="J238" t="b">
        <v>1</v>
      </c>
      <c r="K238" t="b">
        <v>1</v>
      </c>
      <c r="L238" t="b">
        <v>0</v>
      </c>
      <c r="N238" t="s">
        <v>916</v>
      </c>
      <c r="Q238" t="s">
        <v>848</v>
      </c>
      <c r="R238" t="s">
        <v>915</v>
      </c>
      <c r="S238">
        <v>19</v>
      </c>
      <c r="T238" t="s">
        <v>1198</v>
      </c>
      <c r="U238" s="18"/>
      <c r="V238" t="b">
        <f>IF(AND(Table_Trailer_Restock_JSON[[#This Row],[Is Geo Trailer Stock]]=FALSE,Table_Trailer_Restock_JSON[[#This Row],[Is Geo Case Stock]]=FALSE),FALSE,TRUE)</f>
        <v>1</v>
      </c>
    </row>
    <row r="239" spans="1:22" x14ac:dyDescent="0.45">
      <c r="A239">
        <v>205</v>
      </c>
      <c r="B239" t="s">
        <v>522</v>
      </c>
      <c r="E239" t="s">
        <v>40</v>
      </c>
      <c r="F239">
        <v>331760</v>
      </c>
      <c r="G239">
        <v>1</v>
      </c>
      <c r="H239">
        <v>3</v>
      </c>
      <c r="I239" t="s">
        <v>1107</v>
      </c>
      <c r="J239" t="b">
        <v>1</v>
      </c>
      <c r="K239" t="b">
        <v>1</v>
      </c>
      <c r="L239" t="b">
        <v>0</v>
      </c>
      <c r="N239" t="s">
        <v>916</v>
      </c>
      <c r="Q239" t="s">
        <v>848</v>
      </c>
      <c r="R239" t="s">
        <v>915</v>
      </c>
      <c r="S239">
        <v>20</v>
      </c>
      <c r="T239" t="s">
        <v>1198</v>
      </c>
      <c r="U239" s="18"/>
      <c r="V239" t="b">
        <f>IF(AND(Table_Trailer_Restock_JSON[[#This Row],[Is Geo Trailer Stock]]=FALSE,Table_Trailer_Restock_JSON[[#This Row],[Is Geo Case Stock]]=FALSE),FALSE,TRUE)</f>
        <v>1</v>
      </c>
    </row>
    <row r="240" spans="1:22" x14ac:dyDescent="0.45">
      <c r="A240">
        <v>206</v>
      </c>
      <c r="B240" t="s">
        <v>524</v>
      </c>
      <c r="E240" t="s">
        <v>29</v>
      </c>
      <c r="F240">
        <v>99053992</v>
      </c>
      <c r="G240">
        <v>12</v>
      </c>
      <c r="H240">
        <v>6</v>
      </c>
      <c r="I240" t="s">
        <v>1108</v>
      </c>
      <c r="J240" t="b">
        <v>1</v>
      </c>
      <c r="K240" t="b">
        <v>1</v>
      </c>
      <c r="L240" t="b">
        <v>0</v>
      </c>
      <c r="N240" t="s">
        <v>916</v>
      </c>
      <c r="Q240" t="s">
        <v>848</v>
      </c>
      <c r="R240" t="s">
        <v>915</v>
      </c>
      <c r="S240">
        <v>21</v>
      </c>
      <c r="T240" t="s">
        <v>1198</v>
      </c>
      <c r="U240" s="18"/>
      <c r="V240" t="b">
        <f>IF(AND(Table_Trailer_Restock_JSON[[#This Row],[Is Geo Trailer Stock]]=FALSE,Table_Trailer_Restock_JSON[[#This Row],[Is Geo Case Stock]]=FALSE),FALSE,TRUE)</f>
        <v>1</v>
      </c>
    </row>
    <row r="241" spans="1:22" x14ac:dyDescent="0.45">
      <c r="A241">
        <v>207</v>
      </c>
      <c r="B241" t="s">
        <v>526</v>
      </c>
      <c r="E241" t="s">
        <v>29</v>
      </c>
      <c r="F241">
        <v>99053938</v>
      </c>
      <c r="G241">
        <v>12</v>
      </c>
      <c r="H241">
        <v>6</v>
      </c>
      <c r="I241" t="s">
        <v>1109</v>
      </c>
      <c r="J241" t="b">
        <v>1</v>
      </c>
      <c r="K241" t="b">
        <v>1</v>
      </c>
      <c r="L241" t="b">
        <v>0</v>
      </c>
      <c r="N241" t="s">
        <v>916</v>
      </c>
      <c r="Q241" t="s">
        <v>848</v>
      </c>
      <c r="R241" t="s">
        <v>915</v>
      </c>
      <c r="S241">
        <v>22</v>
      </c>
      <c r="T241" t="s">
        <v>1198</v>
      </c>
      <c r="U241" s="18"/>
      <c r="V241" t="b">
        <f>IF(AND(Table_Trailer_Restock_JSON[[#This Row],[Is Geo Trailer Stock]]=FALSE,Table_Trailer_Restock_JSON[[#This Row],[Is Geo Case Stock]]=FALSE),FALSE,TRUE)</f>
        <v>1</v>
      </c>
    </row>
    <row r="242" spans="1:22" x14ac:dyDescent="0.45">
      <c r="A242">
        <v>208</v>
      </c>
      <c r="B242" t="s">
        <v>527</v>
      </c>
      <c r="E242" t="s">
        <v>505</v>
      </c>
      <c r="F242" t="s">
        <v>530</v>
      </c>
      <c r="G242" t="s">
        <v>531</v>
      </c>
      <c r="I242" t="s">
        <v>1110</v>
      </c>
      <c r="J242" t="b">
        <v>1</v>
      </c>
      <c r="K242" t="b">
        <v>1</v>
      </c>
      <c r="L242" t="b">
        <v>0</v>
      </c>
      <c r="N242" t="s">
        <v>916</v>
      </c>
      <c r="Q242" t="s">
        <v>848</v>
      </c>
      <c r="R242" t="s">
        <v>915</v>
      </c>
      <c r="S242">
        <v>23</v>
      </c>
      <c r="T242" t="s">
        <v>1198</v>
      </c>
      <c r="U242" s="18"/>
      <c r="V242" t="b">
        <f>IF(AND(Table_Trailer_Restock_JSON[[#This Row],[Is Geo Trailer Stock]]=FALSE,Table_Trailer_Restock_JSON[[#This Row],[Is Geo Case Stock]]=FALSE),FALSE,TRUE)</f>
        <v>1</v>
      </c>
    </row>
    <row r="243" spans="1:22" x14ac:dyDescent="0.45">
      <c r="A243">
        <v>209</v>
      </c>
      <c r="B243" t="s">
        <v>532</v>
      </c>
      <c r="E243" t="s">
        <v>29</v>
      </c>
      <c r="F243">
        <v>1000021559</v>
      </c>
      <c r="G243" t="s">
        <v>534</v>
      </c>
      <c r="I243" t="s">
        <v>1111</v>
      </c>
      <c r="J243" t="b">
        <v>1</v>
      </c>
      <c r="K243" t="b">
        <v>1</v>
      </c>
      <c r="L243" t="b">
        <v>0</v>
      </c>
      <c r="N243" t="s">
        <v>916</v>
      </c>
      <c r="Q243" t="s">
        <v>848</v>
      </c>
      <c r="R243" t="s">
        <v>915</v>
      </c>
      <c r="S243">
        <v>24</v>
      </c>
      <c r="T243" t="s">
        <v>1198</v>
      </c>
      <c r="U243" s="18"/>
      <c r="V243" t="b">
        <f>IF(AND(Table_Trailer_Restock_JSON[[#This Row],[Is Geo Trailer Stock]]=FALSE,Table_Trailer_Restock_JSON[[#This Row],[Is Geo Case Stock]]=FALSE),FALSE,TRUE)</f>
        <v>1</v>
      </c>
    </row>
    <row r="244" spans="1:22" x14ac:dyDescent="0.45">
      <c r="A244">
        <v>210</v>
      </c>
      <c r="B244" t="s">
        <v>535</v>
      </c>
      <c r="E244" t="s">
        <v>29</v>
      </c>
      <c r="F244">
        <v>915147</v>
      </c>
      <c r="G244" t="s">
        <v>537</v>
      </c>
      <c r="H244" t="s">
        <v>363</v>
      </c>
      <c r="I244" t="s">
        <v>1112</v>
      </c>
      <c r="J244" t="b">
        <v>1</v>
      </c>
      <c r="K244" t="b">
        <v>1</v>
      </c>
      <c r="L244" t="b">
        <v>0</v>
      </c>
      <c r="N244" t="s">
        <v>916</v>
      </c>
      <c r="Q244" t="s">
        <v>848</v>
      </c>
      <c r="R244" t="s">
        <v>915</v>
      </c>
      <c r="S244">
        <v>25</v>
      </c>
      <c r="T244" t="s">
        <v>1198</v>
      </c>
      <c r="U244" s="18"/>
      <c r="V244" t="b">
        <f>IF(AND(Table_Trailer_Restock_JSON[[#This Row],[Is Geo Trailer Stock]]=FALSE,Table_Trailer_Restock_JSON[[#This Row],[Is Geo Case Stock]]=FALSE),FALSE,TRUE)</f>
        <v>1</v>
      </c>
    </row>
    <row r="245" spans="1:22" x14ac:dyDescent="0.45">
      <c r="A245">
        <v>211</v>
      </c>
      <c r="B245" t="s">
        <v>538</v>
      </c>
      <c r="E245" t="s">
        <v>29</v>
      </c>
      <c r="F245">
        <v>700710</v>
      </c>
      <c r="G245" t="s">
        <v>534</v>
      </c>
      <c r="I245" t="s">
        <v>1113</v>
      </c>
      <c r="J245" t="b">
        <v>1</v>
      </c>
      <c r="K245" t="b">
        <v>1</v>
      </c>
      <c r="L245" t="b">
        <v>0</v>
      </c>
      <c r="N245" t="s">
        <v>916</v>
      </c>
      <c r="Q245" t="s">
        <v>848</v>
      </c>
      <c r="R245" t="s">
        <v>915</v>
      </c>
      <c r="S245">
        <v>26</v>
      </c>
      <c r="T245" t="s">
        <v>1198</v>
      </c>
      <c r="U245" s="18"/>
      <c r="V245" t="b">
        <f>IF(AND(Table_Trailer_Restock_JSON[[#This Row],[Is Geo Trailer Stock]]=FALSE,Table_Trailer_Restock_JSON[[#This Row],[Is Geo Case Stock]]=FALSE),FALSE,TRUE)</f>
        <v>1</v>
      </c>
    </row>
    <row r="246" spans="1:22" x14ac:dyDescent="0.45">
      <c r="A246">
        <v>212</v>
      </c>
      <c r="B246" t="s">
        <v>540</v>
      </c>
      <c r="E246" t="s">
        <v>101</v>
      </c>
      <c r="F246">
        <v>7563</v>
      </c>
      <c r="G246">
        <v>6</v>
      </c>
      <c r="H246">
        <v>6</v>
      </c>
      <c r="I246" t="s">
        <v>1114</v>
      </c>
      <c r="J246" t="b">
        <v>1</v>
      </c>
      <c r="K246" t="b">
        <v>1</v>
      </c>
      <c r="L246" t="b">
        <v>0</v>
      </c>
      <c r="N246" t="s">
        <v>916</v>
      </c>
      <c r="Q246" t="s">
        <v>848</v>
      </c>
      <c r="R246" t="s">
        <v>915</v>
      </c>
      <c r="S246">
        <v>27</v>
      </c>
      <c r="T246" t="s">
        <v>1198</v>
      </c>
      <c r="U246" s="18"/>
      <c r="V246" t="b">
        <f>IF(AND(Table_Trailer_Restock_JSON[[#This Row],[Is Geo Trailer Stock]]=FALSE,Table_Trailer_Restock_JSON[[#This Row],[Is Geo Case Stock]]=FALSE),FALSE,TRUE)</f>
        <v>1</v>
      </c>
    </row>
    <row r="247" spans="1:22" x14ac:dyDescent="0.45">
      <c r="A247">
        <v>213</v>
      </c>
      <c r="B247" t="s">
        <v>542</v>
      </c>
      <c r="E247" t="s">
        <v>544</v>
      </c>
      <c r="F247" t="s">
        <v>545</v>
      </c>
      <c r="G247">
        <v>12</v>
      </c>
      <c r="H247">
        <v>6</v>
      </c>
      <c r="I247" t="s">
        <v>1115</v>
      </c>
      <c r="J247" t="b">
        <v>1</v>
      </c>
      <c r="K247" t="b">
        <v>1</v>
      </c>
      <c r="L247" t="b">
        <v>0</v>
      </c>
      <c r="N247" t="s">
        <v>916</v>
      </c>
      <c r="Q247" t="s">
        <v>848</v>
      </c>
      <c r="R247" t="s">
        <v>915</v>
      </c>
      <c r="S247">
        <v>28</v>
      </c>
      <c r="T247" t="s">
        <v>1198</v>
      </c>
      <c r="U247" s="18"/>
      <c r="V247" t="b">
        <f>IF(AND(Table_Trailer_Restock_JSON[[#This Row],[Is Geo Trailer Stock]]=FALSE,Table_Trailer_Restock_JSON[[#This Row],[Is Geo Case Stock]]=FALSE),FALSE,TRUE)</f>
        <v>1</v>
      </c>
    </row>
    <row r="248" spans="1:22" x14ac:dyDescent="0.45">
      <c r="A248">
        <v>214</v>
      </c>
      <c r="B248" t="s">
        <v>546</v>
      </c>
      <c r="E248" t="s">
        <v>29</v>
      </c>
      <c r="F248">
        <v>238616</v>
      </c>
      <c r="G248">
        <v>3</v>
      </c>
      <c r="H248">
        <v>3</v>
      </c>
      <c r="I248" t="s">
        <v>1116</v>
      </c>
      <c r="J248" t="b">
        <v>1</v>
      </c>
      <c r="K248" t="b">
        <v>1</v>
      </c>
      <c r="L248" t="b">
        <v>0</v>
      </c>
      <c r="N248" t="s">
        <v>916</v>
      </c>
      <c r="Q248" t="s">
        <v>848</v>
      </c>
      <c r="R248" t="s">
        <v>915</v>
      </c>
      <c r="S248">
        <v>29</v>
      </c>
      <c r="T248" t="s">
        <v>1198</v>
      </c>
      <c r="U248" s="18"/>
      <c r="V248" t="b">
        <f>IF(AND(Table_Trailer_Restock_JSON[[#This Row],[Is Geo Trailer Stock]]=FALSE,Table_Trailer_Restock_JSON[[#This Row],[Is Geo Case Stock]]=FALSE),FALSE,TRUE)</f>
        <v>1</v>
      </c>
    </row>
    <row r="249" spans="1:22" x14ac:dyDescent="0.45">
      <c r="A249">
        <v>215</v>
      </c>
      <c r="B249" t="s">
        <v>548</v>
      </c>
      <c r="E249" t="s">
        <v>101</v>
      </c>
      <c r="F249" t="s">
        <v>549</v>
      </c>
      <c r="G249">
        <v>3</v>
      </c>
      <c r="H249">
        <v>3</v>
      </c>
      <c r="I249" t="s">
        <v>1117</v>
      </c>
      <c r="J249" t="b">
        <v>1</v>
      </c>
      <c r="K249" t="b">
        <v>1</v>
      </c>
      <c r="L249" t="b">
        <v>0</v>
      </c>
      <c r="N249" t="s">
        <v>916</v>
      </c>
      <c r="Q249" t="s">
        <v>848</v>
      </c>
      <c r="R249" t="s">
        <v>915</v>
      </c>
      <c r="S249">
        <v>30</v>
      </c>
      <c r="T249" t="s">
        <v>1198</v>
      </c>
      <c r="U249" s="18"/>
      <c r="V249" t="b">
        <f>IF(AND(Table_Trailer_Restock_JSON[[#This Row],[Is Geo Trailer Stock]]=FALSE,Table_Trailer_Restock_JSON[[#This Row],[Is Geo Case Stock]]=FALSE),FALSE,TRUE)</f>
        <v>1</v>
      </c>
    </row>
    <row r="250" spans="1:22" x14ac:dyDescent="0.45">
      <c r="A250">
        <v>216</v>
      </c>
      <c r="B250" t="s">
        <v>550</v>
      </c>
      <c r="E250" t="s">
        <v>40</v>
      </c>
      <c r="F250">
        <v>70885</v>
      </c>
      <c r="G250">
        <v>3</v>
      </c>
      <c r="H250">
        <v>3</v>
      </c>
      <c r="I250" t="s">
        <v>1118</v>
      </c>
      <c r="J250" t="b">
        <v>1</v>
      </c>
      <c r="K250" t="b">
        <v>1</v>
      </c>
      <c r="L250" t="b">
        <v>0</v>
      </c>
      <c r="N250" t="s">
        <v>916</v>
      </c>
      <c r="Q250" t="s">
        <v>848</v>
      </c>
      <c r="R250" t="s">
        <v>915</v>
      </c>
      <c r="S250">
        <v>31</v>
      </c>
      <c r="T250" t="s">
        <v>1198</v>
      </c>
      <c r="U250" s="18"/>
      <c r="V250" t="b">
        <f>IF(AND(Table_Trailer_Restock_JSON[[#This Row],[Is Geo Trailer Stock]]=FALSE,Table_Trailer_Restock_JSON[[#This Row],[Is Geo Case Stock]]=FALSE),FALSE,TRUE)</f>
        <v>1</v>
      </c>
    </row>
    <row r="251" spans="1:22" x14ac:dyDescent="0.45">
      <c r="A251">
        <v>217</v>
      </c>
      <c r="B251" t="s">
        <v>551</v>
      </c>
      <c r="E251" t="s">
        <v>40</v>
      </c>
      <c r="F251">
        <v>70886</v>
      </c>
      <c r="G251">
        <v>3</v>
      </c>
      <c r="H251">
        <v>3</v>
      </c>
      <c r="I251" t="s">
        <v>1119</v>
      </c>
      <c r="J251" t="b">
        <v>1</v>
      </c>
      <c r="K251" t="b">
        <v>1</v>
      </c>
      <c r="L251" t="b">
        <v>0</v>
      </c>
      <c r="N251" t="s">
        <v>916</v>
      </c>
      <c r="Q251" t="s">
        <v>848</v>
      </c>
      <c r="R251" t="s">
        <v>915</v>
      </c>
      <c r="S251">
        <v>32</v>
      </c>
      <c r="T251" t="s">
        <v>1198</v>
      </c>
      <c r="U251" s="18"/>
      <c r="V251" t="b">
        <f>IF(AND(Table_Trailer_Restock_JSON[[#This Row],[Is Geo Trailer Stock]]=FALSE,Table_Trailer_Restock_JSON[[#This Row],[Is Geo Case Stock]]=FALSE),FALSE,TRUE)</f>
        <v>1</v>
      </c>
    </row>
    <row r="252" spans="1:22" x14ac:dyDescent="0.45">
      <c r="A252">
        <v>218</v>
      </c>
      <c r="B252" t="s">
        <v>552</v>
      </c>
      <c r="E252" t="s">
        <v>40</v>
      </c>
      <c r="F252">
        <v>15620</v>
      </c>
      <c r="G252">
        <v>1</v>
      </c>
      <c r="H252">
        <v>3</v>
      </c>
      <c r="I252" t="s">
        <v>1120</v>
      </c>
      <c r="J252" t="b">
        <v>1</v>
      </c>
      <c r="K252" t="b">
        <v>1</v>
      </c>
      <c r="L252" t="b">
        <v>0</v>
      </c>
      <c r="N252" t="s">
        <v>916</v>
      </c>
      <c r="Q252" t="s">
        <v>848</v>
      </c>
      <c r="R252" t="s">
        <v>915</v>
      </c>
      <c r="S252">
        <v>33</v>
      </c>
      <c r="T252" t="s">
        <v>1198</v>
      </c>
      <c r="U252" s="18"/>
      <c r="V252" t="b">
        <f>IF(AND(Table_Trailer_Restock_JSON[[#This Row],[Is Geo Trailer Stock]]=FALSE,Table_Trailer_Restock_JSON[[#This Row],[Is Geo Case Stock]]=FALSE),FALSE,TRUE)</f>
        <v>1</v>
      </c>
    </row>
    <row r="253" spans="1:22" x14ac:dyDescent="0.45">
      <c r="A253">
        <v>219</v>
      </c>
      <c r="B253" t="s">
        <v>553</v>
      </c>
      <c r="E253" t="s">
        <v>29</v>
      </c>
      <c r="F253">
        <v>100212441</v>
      </c>
      <c r="G253">
        <v>1</v>
      </c>
      <c r="H253">
        <v>3</v>
      </c>
      <c r="I253" t="s">
        <v>1121</v>
      </c>
      <c r="J253" t="b">
        <v>1</v>
      </c>
      <c r="K253" t="b">
        <v>1</v>
      </c>
      <c r="L253" t="b">
        <v>0</v>
      </c>
      <c r="N253" t="s">
        <v>916</v>
      </c>
      <c r="Q253" t="s">
        <v>848</v>
      </c>
      <c r="R253" t="s">
        <v>915</v>
      </c>
      <c r="S253">
        <v>34</v>
      </c>
      <c r="T253" t="s">
        <v>1198</v>
      </c>
      <c r="U253" s="18"/>
      <c r="V253" t="b">
        <f>IF(AND(Table_Trailer_Restock_JSON[[#This Row],[Is Geo Trailer Stock]]=FALSE,Table_Trailer_Restock_JSON[[#This Row],[Is Geo Case Stock]]=FALSE),FALSE,TRUE)</f>
        <v>1</v>
      </c>
    </row>
    <row r="254" spans="1:22" x14ac:dyDescent="0.45">
      <c r="A254">
        <v>220</v>
      </c>
      <c r="B254" t="s">
        <v>554</v>
      </c>
      <c r="E254" t="s">
        <v>29</v>
      </c>
      <c r="F254">
        <v>172187</v>
      </c>
      <c r="G254">
        <v>2</v>
      </c>
      <c r="H254">
        <v>1</v>
      </c>
      <c r="I254" t="s">
        <v>1122</v>
      </c>
      <c r="J254" t="b">
        <v>1</v>
      </c>
      <c r="K254" t="b">
        <v>1</v>
      </c>
      <c r="L254" t="b">
        <v>0</v>
      </c>
      <c r="N254" t="s">
        <v>916</v>
      </c>
      <c r="Q254" t="s">
        <v>848</v>
      </c>
      <c r="R254" t="s">
        <v>915</v>
      </c>
      <c r="S254">
        <v>35</v>
      </c>
      <c r="T254" t="s">
        <v>1198</v>
      </c>
      <c r="U254" s="18"/>
      <c r="V254" t="b">
        <f>IF(AND(Table_Trailer_Restock_JSON[[#This Row],[Is Geo Trailer Stock]]=FALSE,Table_Trailer_Restock_JSON[[#This Row],[Is Geo Case Stock]]=FALSE),FALSE,TRUE)</f>
        <v>1</v>
      </c>
    </row>
    <row r="255" spans="1:22" x14ac:dyDescent="0.45">
      <c r="A255">
        <v>221</v>
      </c>
      <c r="B255" t="s">
        <v>555</v>
      </c>
      <c r="E255" t="s">
        <v>40</v>
      </c>
      <c r="F255" t="s">
        <v>556</v>
      </c>
      <c r="G255">
        <v>1</v>
      </c>
      <c r="I255" t="s">
        <v>1123</v>
      </c>
      <c r="J255" t="b">
        <v>1</v>
      </c>
      <c r="K255" t="b">
        <v>1</v>
      </c>
      <c r="L255" t="b">
        <v>0</v>
      </c>
      <c r="N255" t="s">
        <v>916</v>
      </c>
      <c r="Q255" t="s">
        <v>848</v>
      </c>
      <c r="R255" t="s">
        <v>915</v>
      </c>
      <c r="S255">
        <v>36</v>
      </c>
      <c r="T255" t="s">
        <v>1198</v>
      </c>
      <c r="U255" s="18"/>
      <c r="V255" t="b">
        <f>IF(AND(Table_Trailer_Restock_JSON[[#This Row],[Is Geo Trailer Stock]]=FALSE,Table_Trailer_Restock_JSON[[#This Row],[Is Geo Case Stock]]=FALSE),FALSE,TRUE)</f>
        <v>1</v>
      </c>
    </row>
    <row r="256" spans="1:22" x14ac:dyDescent="0.45">
      <c r="A256">
        <v>222</v>
      </c>
      <c r="B256" t="s">
        <v>557</v>
      </c>
      <c r="E256" t="s">
        <v>40</v>
      </c>
      <c r="F256" t="s">
        <v>558</v>
      </c>
      <c r="G256">
        <v>1</v>
      </c>
      <c r="I256" t="s">
        <v>1124</v>
      </c>
      <c r="J256" t="b">
        <v>1</v>
      </c>
      <c r="K256" t="b">
        <v>1</v>
      </c>
      <c r="L256" t="b">
        <v>0</v>
      </c>
      <c r="N256" t="s">
        <v>916</v>
      </c>
      <c r="Q256" t="s">
        <v>848</v>
      </c>
      <c r="R256" t="s">
        <v>915</v>
      </c>
      <c r="S256">
        <v>37</v>
      </c>
      <c r="T256" t="s">
        <v>1198</v>
      </c>
      <c r="U256" s="18"/>
      <c r="V256" t="b">
        <f>IF(AND(Table_Trailer_Restock_JSON[[#This Row],[Is Geo Trailer Stock]]=FALSE,Table_Trailer_Restock_JSON[[#This Row],[Is Geo Case Stock]]=FALSE),FALSE,TRUE)</f>
        <v>1</v>
      </c>
    </row>
    <row r="257" spans="1:22" x14ac:dyDescent="0.45">
      <c r="A257">
        <v>223</v>
      </c>
      <c r="B257" t="s">
        <v>559</v>
      </c>
      <c r="E257" t="s">
        <v>40</v>
      </c>
      <c r="F257" t="s">
        <v>560</v>
      </c>
      <c r="G257">
        <v>1</v>
      </c>
      <c r="I257" t="s">
        <v>1125</v>
      </c>
      <c r="J257" t="b">
        <v>1</v>
      </c>
      <c r="K257" t="b">
        <v>1</v>
      </c>
      <c r="L257" t="b">
        <v>0</v>
      </c>
      <c r="N257" t="s">
        <v>916</v>
      </c>
      <c r="Q257" t="s">
        <v>848</v>
      </c>
      <c r="R257" t="s">
        <v>915</v>
      </c>
      <c r="S257">
        <v>38</v>
      </c>
      <c r="T257" t="s">
        <v>1198</v>
      </c>
      <c r="U257" s="18"/>
      <c r="V257" t="b">
        <f>IF(AND(Table_Trailer_Restock_JSON[[#This Row],[Is Geo Trailer Stock]]=FALSE,Table_Trailer_Restock_JSON[[#This Row],[Is Geo Case Stock]]=FALSE),FALSE,TRUE)</f>
        <v>1</v>
      </c>
    </row>
    <row r="258" spans="1:22" x14ac:dyDescent="0.45">
      <c r="A258">
        <v>224</v>
      </c>
      <c r="B258" t="s">
        <v>561</v>
      </c>
      <c r="E258" t="s">
        <v>40</v>
      </c>
      <c r="F258" t="s">
        <v>562</v>
      </c>
      <c r="G258">
        <v>1</v>
      </c>
      <c r="I258" t="s">
        <v>1126</v>
      </c>
      <c r="J258" t="b">
        <v>1</v>
      </c>
      <c r="K258" t="b">
        <v>1</v>
      </c>
      <c r="L258" t="b">
        <v>0</v>
      </c>
      <c r="N258" t="s">
        <v>916</v>
      </c>
      <c r="Q258" t="s">
        <v>848</v>
      </c>
      <c r="R258" t="s">
        <v>915</v>
      </c>
      <c r="S258">
        <v>39</v>
      </c>
      <c r="T258" t="s">
        <v>1198</v>
      </c>
      <c r="U258" s="18"/>
      <c r="V258" t="b">
        <f>IF(AND(Table_Trailer_Restock_JSON[[#This Row],[Is Geo Trailer Stock]]=FALSE,Table_Trailer_Restock_JSON[[#This Row],[Is Geo Case Stock]]=FALSE),FALSE,TRUE)</f>
        <v>1</v>
      </c>
    </row>
    <row r="259" spans="1:22" x14ac:dyDescent="0.45">
      <c r="A259">
        <v>225</v>
      </c>
      <c r="B259" t="s">
        <v>563</v>
      </c>
      <c r="E259" t="s">
        <v>40</v>
      </c>
      <c r="F259" t="s">
        <v>564</v>
      </c>
      <c r="G259">
        <v>1</v>
      </c>
      <c r="I259" t="s">
        <v>1127</v>
      </c>
      <c r="J259" t="b">
        <v>1</v>
      </c>
      <c r="K259" t="b">
        <v>1</v>
      </c>
      <c r="L259" t="b">
        <v>0</v>
      </c>
      <c r="N259" t="s">
        <v>916</v>
      </c>
      <c r="O259">
        <v>1</v>
      </c>
      <c r="P259">
        <v>1</v>
      </c>
      <c r="Q259" t="s">
        <v>848</v>
      </c>
      <c r="R259" t="s">
        <v>915</v>
      </c>
      <c r="S259">
        <v>40</v>
      </c>
      <c r="T259" t="s">
        <v>1198</v>
      </c>
      <c r="U259" s="18"/>
      <c r="V259" t="b">
        <f>IF(AND(Table_Trailer_Restock_JSON[[#This Row],[Is Geo Trailer Stock]]=FALSE,Table_Trailer_Restock_JSON[[#This Row],[Is Geo Case Stock]]=FALSE),FALSE,TRUE)</f>
        <v>1</v>
      </c>
    </row>
    <row r="260" spans="1:22" x14ac:dyDescent="0.45">
      <c r="A260">
        <v>226</v>
      </c>
      <c r="B260" t="s">
        <v>565</v>
      </c>
      <c r="E260" t="s">
        <v>29</v>
      </c>
      <c r="F260" t="s">
        <v>567</v>
      </c>
      <c r="G260">
        <v>1</v>
      </c>
      <c r="I260" t="s">
        <v>1128</v>
      </c>
      <c r="J260" t="b">
        <v>1</v>
      </c>
      <c r="K260" t="b">
        <v>1</v>
      </c>
      <c r="L260" t="b">
        <v>0</v>
      </c>
      <c r="N260" t="s">
        <v>916</v>
      </c>
      <c r="Q260" t="s">
        <v>848</v>
      </c>
      <c r="R260" t="s">
        <v>915</v>
      </c>
      <c r="S260">
        <v>41</v>
      </c>
      <c r="T260" t="s">
        <v>1198</v>
      </c>
      <c r="U260" s="18"/>
      <c r="V260" t="b">
        <f>IF(AND(Table_Trailer_Restock_JSON[[#This Row],[Is Geo Trailer Stock]]=FALSE,Table_Trailer_Restock_JSON[[#This Row],[Is Geo Case Stock]]=FALSE),FALSE,TRUE)</f>
        <v>1</v>
      </c>
    </row>
    <row r="261" spans="1:22" x14ac:dyDescent="0.45">
      <c r="A261">
        <v>259</v>
      </c>
      <c r="B261" t="s">
        <v>640</v>
      </c>
      <c r="E261" t="s">
        <v>29</v>
      </c>
      <c r="F261" t="s">
        <v>643</v>
      </c>
      <c r="G261">
        <v>10</v>
      </c>
      <c r="H261">
        <v>6</v>
      </c>
      <c r="I261" t="s">
        <v>1164</v>
      </c>
      <c r="J261" t="b">
        <v>1</v>
      </c>
      <c r="K261" t="b">
        <v>1</v>
      </c>
      <c r="L261" t="b">
        <v>0</v>
      </c>
      <c r="N261" t="s">
        <v>641</v>
      </c>
      <c r="Q261" t="s">
        <v>848</v>
      </c>
      <c r="R261" t="s">
        <v>925</v>
      </c>
      <c r="S261">
        <v>1</v>
      </c>
      <c r="T261" t="s">
        <v>1199</v>
      </c>
      <c r="U261" s="18"/>
      <c r="V261" t="b">
        <f>IF(AND(Table_Trailer_Restock_JSON[[#This Row],[Is Geo Trailer Stock]]=FALSE,Table_Trailer_Restock_JSON[[#This Row],[Is Geo Case Stock]]=FALSE),FALSE,TRUE)</f>
        <v>1</v>
      </c>
    </row>
    <row r="262" spans="1:22" x14ac:dyDescent="0.45">
      <c r="A262">
        <v>260</v>
      </c>
      <c r="B262" t="s">
        <v>644</v>
      </c>
      <c r="C262" t="s">
        <v>646</v>
      </c>
      <c r="E262" t="s">
        <v>40</v>
      </c>
      <c r="F262" t="s">
        <v>647</v>
      </c>
      <c r="G262">
        <v>2</v>
      </c>
      <c r="H262">
        <v>2</v>
      </c>
      <c r="I262" t="s">
        <v>1200</v>
      </c>
      <c r="J262" t="b">
        <v>1</v>
      </c>
      <c r="K262" t="b">
        <v>0</v>
      </c>
      <c r="L262" t="b">
        <v>0</v>
      </c>
      <c r="U262" s="18"/>
      <c r="V262" t="b">
        <f>IF(AND(Table_Trailer_Restock_JSON[[#This Row],[Is Geo Trailer Stock]]=FALSE,Table_Trailer_Restock_JSON[[#This Row],[Is Geo Case Stock]]=FALSE),FALSE,TRUE)</f>
        <v>0</v>
      </c>
    </row>
    <row r="263" spans="1:22" x14ac:dyDescent="0.45">
      <c r="A263">
        <v>261</v>
      </c>
      <c r="B263" t="s">
        <v>648</v>
      </c>
      <c r="C263" t="s">
        <v>646</v>
      </c>
      <c r="E263" t="s">
        <v>40</v>
      </c>
      <c r="F263" t="s">
        <v>649</v>
      </c>
      <c r="G263">
        <v>1</v>
      </c>
      <c r="I263" t="s">
        <v>1201</v>
      </c>
      <c r="J263" t="b">
        <v>1</v>
      </c>
      <c r="K263" t="b">
        <v>0</v>
      </c>
      <c r="L263" t="b">
        <v>0</v>
      </c>
      <c r="U263" s="18"/>
      <c r="V263" t="b">
        <f>IF(AND(Table_Trailer_Restock_JSON[[#This Row],[Is Geo Trailer Stock]]=FALSE,Table_Trailer_Restock_JSON[[#This Row],[Is Geo Case Stock]]=FALSE),FALSE,TRUE)</f>
        <v>0</v>
      </c>
    </row>
    <row r="264" spans="1:22" x14ac:dyDescent="0.45">
      <c r="A264">
        <v>262</v>
      </c>
      <c r="B264" t="s">
        <v>650</v>
      </c>
      <c r="E264" t="s">
        <v>40</v>
      </c>
      <c r="F264" t="s">
        <v>651</v>
      </c>
      <c r="G264">
        <v>1</v>
      </c>
      <c r="I264" t="s">
        <v>1202</v>
      </c>
      <c r="J264" t="b">
        <v>1</v>
      </c>
      <c r="K264" t="b">
        <v>0</v>
      </c>
      <c r="L264" t="b">
        <v>0</v>
      </c>
      <c r="U264" s="18"/>
      <c r="V264" t="b">
        <f>IF(AND(Table_Trailer_Restock_JSON[[#This Row],[Is Geo Trailer Stock]]=FALSE,Table_Trailer_Restock_JSON[[#This Row],[Is Geo Case Stock]]=FALSE),FALSE,TRUE)</f>
        <v>0</v>
      </c>
    </row>
    <row r="265" spans="1:22" x14ac:dyDescent="0.45">
      <c r="A265">
        <v>263</v>
      </c>
      <c r="B265" t="s">
        <v>652</v>
      </c>
      <c r="E265" t="s">
        <v>40</v>
      </c>
      <c r="F265" t="s">
        <v>653</v>
      </c>
      <c r="G265">
        <v>2</v>
      </c>
      <c r="H265">
        <v>1</v>
      </c>
      <c r="I265" t="s">
        <v>1203</v>
      </c>
      <c r="J265" t="b">
        <v>1</v>
      </c>
      <c r="K265" t="b">
        <v>0</v>
      </c>
      <c r="L265" t="b">
        <v>0</v>
      </c>
      <c r="U265" s="18"/>
      <c r="V265" t="b">
        <f>IF(AND(Table_Trailer_Restock_JSON[[#This Row],[Is Geo Trailer Stock]]=FALSE,Table_Trailer_Restock_JSON[[#This Row],[Is Geo Case Stock]]=FALSE),FALSE,TRUE)</f>
        <v>0</v>
      </c>
    </row>
    <row r="266" spans="1:22" x14ac:dyDescent="0.45">
      <c r="A266">
        <v>264</v>
      </c>
      <c r="B266" t="s">
        <v>654</v>
      </c>
      <c r="E266" t="s">
        <v>40</v>
      </c>
      <c r="F266">
        <v>96387</v>
      </c>
      <c r="G266">
        <v>1</v>
      </c>
      <c r="I266" t="s">
        <v>1204</v>
      </c>
      <c r="J266" t="b">
        <v>1</v>
      </c>
      <c r="K266" t="b">
        <v>0</v>
      </c>
      <c r="L266" t="b">
        <v>0</v>
      </c>
      <c r="U266" s="18"/>
      <c r="V266" t="b">
        <f>IF(AND(Table_Trailer_Restock_JSON[[#This Row],[Is Geo Trailer Stock]]=FALSE,Table_Trailer_Restock_JSON[[#This Row],[Is Geo Case Stock]]=FALSE),FALSE,TRUE)</f>
        <v>0</v>
      </c>
    </row>
    <row r="267" spans="1:22" x14ac:dyDescent="0.45">
      <c r="A267">
        <v>265</v>
      </c>
      <c r="B267" t="s">
        <v>656</v>
      </c>
      <c r="E267" t="s">
        <v>659</v>
      </c>
      <c r="G267">
        <v>20</v>
      </c>
      <c r="H267">
        <v>10</v>
      </c>
      <c r="I267" t="s">
        <v>1205</v>
      </c>
      <c r="J267" t="b">
        <v>1</v>
      </c>
      <c r="K267" t="b">
        <v>0</v>
      </c>
      <c r="L267" t="b">
        <v>0</v>
      </c>
      <c r="U267" s="18"/>
      <c r="V267" t="b">
        <f>IF(AND(Table_Trailer_Restock_JSON[[#This Row],[Is Geo Trailer Stock]]=FALSE,Table_Trailer_Restock_JSON[[#This Row],[Is Geo Case Stock]]=FALSE),FALSE,TRUE)</f>
        <v>0</v>
      </c>
    </row>
    <row r="268" spans="1:22" x14ac:dyDescent="0.45">
      <c r="A268">
        <v>266</v>
      </c>
      <c r="B268" t="s">
        <v>661</v>
      </c>
      <c r="E268" t="s">
        <v>659</v>
      </c>
      <c r="G268">
        <v>2</v>
      </c>
      <c r="H268">
        <v>2</v>
      </c>
      <c r="I268" t="s">
        <v>1206</v>
      </c>
      <c r="J268" t="b">
        <v>1</v>
      </c>
      <c r="K268" t="b">
        <v>0</v>
      </c>
      <c r="L268" t="b">
        <v>0</v>
      </c>
      <c r="U268" s="18"/>
      <c r="V268" t="b">
        <f>IF(AND(Table_Trailer_Restock_JSON[[#This Row],[Is Geo Trailer Stock]]=FALSE,Table_Trailer_Restock_JSON[[#This Row],[Is Geo Case Stock]]=FALSE),FALSE,TRUE)</f>
        <v>0</v>
      </c>
    </row>
    <row r="269" spans="1:22" x14ac:dyDescent="0.45">
      <c r="A269">
        <v>267</v>
      </c>
      <c r="B269" t="s">
        <v>662</v>
      </c>
      <c r="E269" t="s">
        <v>29</v>
      </c>
      <c r="F269">
        <v>1001295125</v>
      </c>
      <c r="G269">
        <v>5</v>
      </c>
      <c r="H269">
        <v>1</v>
      </c>
      <c r="I269" t="s">
        <v>1207</v>
      </c>
      <c r="J269" t="b">
        <v>1</v>
      </c>
      <c r="K269" t="b">
        <v>0</v>
      </c>
      <c r="L269" t="b">
        <v>0</v>
      </c>
      <c r="U269" s="18"/>
      <c r="V269" t="b">
        <f>IF(AND(Table_Trailer_Restock_JSON[[#This Row],[Is Geo Trailer Stock]]=FALSE,Table_Trailer_Restock_JSON[[#This Row],[Is Geo Case Stock]]=FALSE),FALSE,TRUE)</f>
        <v>0</v>
      </c>
    </row>
    <row r="270" spans="1:22" x14ac:dyDescent="0.45">
      <c r="A270">
        <v>268</v>
      </c>
      <c r="B270" t="s">
        <v>665</v>
      </c>
      <c r="E270" t="s">
        <v>101</v>
      </c>
      <c r="F270" t="s">
        <v>667</v>
      </c>
      <c r="G270">
        <v>5</v>
      </c>
      <c r="H270">
        <v>1</v>
      </c>
      <c r="I270" t="s">
        <v>1208</v>
      </c>
      <c r="J270" t="b">
        <v>1</v>
      </c>
      <c r="K270" t="b">
        <v>0</v>
      </c>
      <c r="L270" t="b">
        <v>0</v>
      </c>
      <c r="U270" s="18"/>
      <c r="V270" t="b">
        <f>IF(AND(Table_Trailer_Restock_JSON[[#This Row],[Is Geo Trailer Stock]]=FALSE,Table_Trailer_Restock_JSON[[#This Row],[Is Geo Case Stock]]=FALSE),FALSE,TRUE)</f>
        <v>0</v>
      </c>
    </row>
    <row r="271" spans="1:22" x14ac:dyDescent="0.45">
      <c r="A271">
        <v>269</v>
      </c>
      <c r="B271" t="s">
        <v>668</v>
      </c>
      <c r="E271" t="s">
        <v>29</v>
      </c>
      <c r="F271">
        <v>404383</v>
      </c>
      <c r="G271">
        <v>5</v>
      </c>
      <c r="H271">
        <v>1</v>
      </c>
      <c r="I271" t="s">
        <v>1209</v>
      </c>
      <c r="J271" t="b">
        <v>1</v>
      </c>
      <c r="K271" t="b">
        <v>0</v>
      </c>
      <c r="L271" t="b">
        <v>0</v>
      </c>
      <c r="U271" s="18"/>
      <c r="V271" t="b">
        <f>IF(AND(Table_Trailer_Restock_JSON[[#This Row],[Is Geo Trailer Stock]]=FALSE,Table_Trailer_Restock_JSON[[#This Row],[Is Geo Case Stock]]=FALSE),FALSE,TRUE)</f>
        <v>0</v>
      </c>
    </row>
    <row r="272" spans="1:22" x14ac:dyDescent="0.45">
      <c r="A272">
        <v>270</v>
      </c>
      <c r="B272" t="s">
        <v>669</v>
      </c>
      <c r="E272" t="s">
        <v>29</v>
      </c>
      <c r="F272">
        <v>405227</v>
      </c>
      <c r="G272">
        <v>5</v>
      </c>
      <c r="H272">
        <v>1</v>
      </c>
      <c r="I272" t="s">
        <v>1210</v>
      </c>
      <c r="J272" t="b">
        <v>1</v>
      </c>
      <c r="K272" t="b">
        <v>0</v>
      </c>
      <c r="L272" t="b">
        <v>0</v>
      </c>
      <c r="U272" s="18"/>
      <c r="V272" t="b">
        <f>IF(AND(Table_Trailer_Restock_JSON[[#This Row],[Is Geo Trailer Stock]]=FALSE,Table_Trailer_Restock_JSON[[#This Row],[Is Geo Case Stock]]=FALSE),FALSE,TRUE)</f>
        <v>0</v>
      </c>
    </row>
    <row r="273" spans="1:22" x14ac:dyDescent="0.45">
      <c r="A273">
        <v>271</v>
      </c>
      <c r="B273" t="s">
        <v>670</v>
      </c>
      <c r="E273" t="s">
        <v>29</v>
      </c>
      <c r="F273">
        <v>406095</v>
      </c>
      <c r="G273">
        <v>5</v>
      </c>
      <c r="H273">
        <v>1</v>
      </c>
      <c r="I273" t="s">
        <v>1211</v>
      </c>
      <c r="J273" t="b">
        <v>1</v>
      </c>
      <c r="K273" t="b">
        <v>0</v>
      </c>
      <c r="L273" t="b">
        <v>0</v>
      </c>
      <c r="U273" s="18"/>
      <c r="V273" t="b">
        <f>IF(AND(Table_Trailer_Restock_JSON[[#This Row],[Is Geo Trailer Stock]]=FALSE,Table_Trailer_Restock_JSON[[#This Row],[Is Geo Case Stock]]=FALSE),FALSE,TRUE)</f>
        <v>0</v>
      </c>
    </row>
    <row r="274" spans="1:22" x14ac:dyDescent="0.45">
      <c r="A274">
        <v>272</v>
      </c>
      <c r="B274" t="s">
        <v>672</v>
      </c>
      <c r="E274" t="s">
        <v>29</v>
      </c>
      <c r="F274">
        <v>405639</v>
      </c>
      <c r="G274">
        <v>5</v>
      </c>
      <c r="H274">
        <v>1</v>
      </c>
      <c r="I274" t="s">
        <v>1212</v>
      </c>
      <c r="J274" t="b">
        <v>1</v>
      </c>
      <c r="K274" t="b">
        <v>0</v>
      </c>
      <c r="L274" t="b">
        <v>0</v>
      </c>
      <c r="U274" s="18"/>
      <c r="V274" t="b">
        <f>IF(AND(Table_Trailer_Restock_JSON[[#This Row],[Is Geo Trailer Stock]]=FALSE,Table_Trailer_Restock_JSON[[#This Row],[Is Geo Case Stock]]=FALSE),FALSE,TRUE)</f>
        <v>0</v>
      </c>
    </row>
    <row r="275" spans="1:22" x14ac:dyDescent="0.45">
      <c r="A275">
        <v>273</v>
      </c>
      <c r="B275" t="s">
        <v>674</v>
      </c>
      <c r="E275" t="s">
        <v>29</v>
      </c>
      <c r="F275" t="s">
        <v>675</v>
      </c>
      <c r="G275">
        <v>5</v>
      </c>
      <c r="H275">
        <v>1</v>
      </c>
      <c r="I275" t="s">
        <v>1213</v>
      </c>
      <c r="J275" t="b">
        <v>1</v>
      </c>
      <c r="K275" t="b">
        <v>0</v>
      </c>
      <c r="L275" t="b">
        <v>0</v>
      </c>
      <c r="U275" s="18"/>
      <c r="V275" t="b">
        <f>IF(AND(Table_Trailer_Restock_JSON[[#This Row],[Is Geo Trailer Stock]]=FALSE,Table_Trailer_Restock_JSON[[#This Row],[Is Geo Case Stock]]=FALSE),FALSE,TRUE)</f>
        <v>0</v>
      </c>
    </row>
    <row r="276" spans="1:22" x14ac:dyDescent="0.45">
      <c r="A276">
        <v>274</v>
      </c>
      <c r="B276" t="s">
        <v>676</v>
      </c>
      <c r="E276" t="s">
        <v>29</v>
      </c>
      <c r="F276">
        <v>406365</v>
      </c>
      <c r="G276">
        <v>5</v>
      </c>
      <c r="H276">
        <v>1</v>
      </c>
      <c r="I276" t="s">
        <v>1214</v>
      </c>
      <c r="J276" t="b">
        <v>1</v>
      </c>
      <c r="K276" t="b">
        <v>0</v>
      </c>
      <c r="L276" t="b">
        <v>0</v>
      </c>
      <c r="U276" s="18"/>
      <c r="V276" t="b">
        <f>IF(AND(Table_Trailer_Restock_JSON[[#This Row],[Is Geo Trailer Stock]]=FALSE,Table_Trailer_Restock_JSON[[#This Row],[Is Geo Case Stock]]=FALSE),FALSE,TRUE)</f>
        <v>0</v>
      </c>
    </row>
    <row r="277" spans="1:22" x14ac:dyDescent="0.45">
      <c r="A277">
        <v>275</v>
      </c>
      <c r="B277" t="s">
        <v>677</v>
      </c>
      <c r="E277" t="s">
        <v>29</v>
      </c>
      <c r="F277">
        <v>1003142694</v>
      </c>
      <c r="G277">
        <v>1</v>
      </c>
      <c r="I277" t="s">
        <v>1215</v>
      </c>
      <c r="J277" t="b">
        <v>1</v>
      </c>
      <c r="K277" t="b">
        <v>0</v>
      </c>
      <c r="L277" t="b">
        <v>0</v>
      </c>
      <c r="U277" s="18"/>
      <c r="V277" t="b">
        <f>IF(AND(Table_Trailer_Restock_JSON[[#This Row],[Is Geo Trailer Stock]]=FALSE,Table_Trailer_Restock_JSON[[#This Row],[Is Geo Case Stock]]=FALSE),FALSE,TRUE)</f>
        <v>0</v>
      </c>
    </row>
    <row r="278" spans="1:22" x14ac:dyDescent="0.45">
      <c r="A278">
        <v>276</v>
      </c>
      <c r="B278" t="s">
        <v>679</v>
      </c>
      <c r="E278" t="s">
        <v>505</v>
      </c>
      <c r="F278" t="s">
        <v>680</v>
      </c>
      <c r="G278">
        <v>4</v>
      </c>
      <c r="H278">
        <v>1</v>
      </c>
      <c r="I278" t="s">
        <v>1216</v>
      </c>
      <c r="J278" t="b">
        <v>1</v>
      </c>
      <c r="K278" t="b">
        <v>0</v>
      </c>
      <c r="L278" t="b">
        <v>0</v>
      </c>
      <c r="U278" s="18"/>
      <c r="V278" t="b">
        <f>IF(AND(Table_Trailer_Restock_JSON[[#This Row],[Is Geo Trailer Stock]]=FALSE,Table_Trailer_Restock_JSON[[#This Row],[Is Geo Case Stock]]=FALSE),FALSE,TRUE)</f>
        <v>0</v>
      </c>
    </row>
    <row r="279" spans="1:22" x14ac:dyDescent="0.45">
      <c r="A279">
        <v>277</v>
      </c>
      <c r="B279" t="s">
        <v>681</v>
      </c>
      <c r="E279" t="s">
        <v>505</v>
      </c>
      <c r="F279" t="s">
        <v>683</v>
      </c>
      <c r="G279">
        <v>4</v>
      </c>
      <c r="H279">
        <v>1</v>
      </c>
      <c r="I279" t="s">
        <v>1217</v>
      </c>
      <c r="J279" t="b">
        <v>1</v>
      </c>
      <c r="K279" t="b">
        <v>0</v>
      </c>
      <c r="L279" t="b">
        <v>0</v>
      </c>
      <c r="U279" s="18"/>
      <c r="V279" t="b">
        <f>IF(AND(Table_Trailer_Restock_JSON[[#This Row],[Is Geo Trailer Stock]]=FALSE,Table_Trailer_Restock_JSON[[#This Row],[Is Geo Case Stock]]=FALSE),FALSE,TRUE)</f>
        <v>0</v>
      </c>
    </row>
    <row r="280" spans="1:22" x14ac:dyDescent="0.45">
      <c r="A280">
        <v>278</v>
      </c>
      <c r="B280" t="s">
        <v>684</v>
      </c>
      <c r="E280" t="s">
        <v>29</v>
      </c>
      <c r="F280">
        <v>698630</v>
      </c>
      <c r="G280">
        <v>1</v>
      </c>
      <c r="I280" t="s">
        <v>1218</v>
      </c>
      <c r="J280" t="b">
        <v>1</v>
      </c>
      <c r="K280" t="b">
        <v>0</v>
      </c>
      <c r="L280" t="b">
        <v>0</v>
      </c>
      <c r="U280" s="18"/>
      <c r="V280" t="b">
        <f>IF(AND(Table_Trailer_Restock_JSON[[#This Row],[Is Geo Trailer Stock]]=FALSE,Table_Trailer_Restock_JSON[[#This Row],[Is Geo Case Stock]]=FALSE),FALSE,TRUE)</f>
        <v>0</v>
      </c>
    </row>
    <row r="281" spans="1:22" x14ac:dyDescent="0.45">
      <c r="A281">
        <v>279</v>
      </c>
      <c r="B281" t="s">
        <v>686</v>
      </c>
      <c r="E281" t="s">
        <v>29</v>
      </c>
      <c r="F281">
        <v>1002339401</v>
      </c>
      <c r="G281">
        <v>5</v>
      </c>
      <c r="H281">
        <v>1</v>
      </c>
      <c r="I281" t="s">
        <v>1219</v>
      </c>
      <c r="J281" t="b">
        <v>1</v>
      </c>
      <c r="K281" t="b">
        <v>0</v>
      </c>
      <c r="L281" t="b">
        <v>0</v>
      </c>
      <c r="U281" s="18"/>
      <c r="V281" t="b">
        <f>IF(AND(Table_Trailer_Restock_JSON[[#This Row],[Is Geo Trailer Stock]]=FALSE,Table_Trailer_Restock_JSON[[#This Row],[Is Geo Case Stock]]=FALSE),FALSE,TRUE)</f>
        <v>0</v>
      </c>
    </row>
    <row r="282" spans="1:22" x14ac:dyDescent="0.45">
      <c r="A282">
        <v>281</v>
      </c>
      <c r="B282" t="s">
        <v>689</v>
      </c>
      <c r="E282" t="s">
        <v>353</v>
      </c>
      <c r="F282" t="s">
        <v>691</v>
      </c>
      <c r="G282">
        <v>10</v>
      </c>
      <c r="H282">
        <v>4</v>
      </c>
      <c r="I282" t="s">
        <v>1220</v>
      </c>
      <c r="J282" t="b">
        <v>1</v>
      </c>
      <c r="K282" t="b">
        <v>0</v>
      </c>
      <c r="L282" t="b">
        <v>0</v>
      </c>
      <c r="U282" s="18"/>
      <c r="V282" t="b">
        <f>IF(AND(Table_Trailer_Restock_JSON[[#This Row],[Is Geo Trailer Stock]]=FALSE,Table_Trailer_Restock_JSON[[#This Row],[Is Geo Case Stock]]=FALSE),FALSE,TRUE)</f>
        <v>0</v>
      </c>
    </row>
    <row r="283" spans="1:22" x14ac:dyDescent="0.45">
      <c r="A283">
        <v>282</v>
      </c>
      <c r="B283" t="s">
        <v>692</v>
      </c>
      <c r="E283" t="s">
        <v>40</v>
      </c>
      <c r="F283" t="s">
        <v>693</v>
      </c>
      <c r="G283">
        <v>4</v>
      </c>
      <c r="H283">
        <v>3</v>
      </c>
      <c r="I283" t="s">
        <v>1221</v>
      </c>
      <c r="J283" t="b">
        <v>1</v>
      </c>
      <c r="K283" t="b">
        <v>0</v>
      </c>
      <c r="L283" t="b">
        <v>0</v>
      </c>
      <c r="U283" s="18"/>
      <c r="V283" t="b">
        <f>IF(AND(Table_Trailer_Restock_JSON[[#This Row],[Is Geo Trailer Stock]]=FALSE,Table_Trailer_Restock_JSON[[#This Row],[Is Geo Case Stock]]=FALSE),FALSE,TRUE)</f>
        <v>0</v>
      </c>
    </row>
    <row r="284" spans="1:22" x14ac:dyDescent="0.45">
      <c r="A284">
        <v>283</v>
      </c>
      <c r="B284" t="s">
        <v>694</v>
      </c>
      <c r="E284" t="s">
        <v>353</v>
      </c>
      <c r="F284" t="s">
        <v>697</v>
      </c>
      <c r="G284" t="s">
        <v>698</v>
      </c>
      <c r="H284" t="s">
        <v>698</v>
      </c>
      <c r="I284" t="s">
        <v>1222</v>
      </c>
      <c r="J284" t="b">
        <v>1</v>
      </c>
      <c r="K284" t="b">
        <v>0</v>
      </c>
      <c r="L284" t="b">
        <v>0</v>
      </c>
      <c r="U284" s="18"/>
      <c r="V284" t="b">
        <f>IF(AND(Table_Trailer_Restock_JSON[[#This Row],[Is Geo Trailer Stock]]=FALSE,Table_Trailer_Restock_JSON[[#This Row],[Is Geo Case Stock]]=FALSE),FALSE,TRUE)</f>
        <v>0</v>
      </c>
    </row>
    <row r="285" spans="1:22" x14ac:dyDescent="0.45">
      <c r="A285">
        <v>284</v>
      </c>
      <c r="B285" t="s">
        <v>699</v>
      </c>
      <c r="E285" t="s">
        <v>702</v>
      </c>
      <c r="F285" t="s">
        <v>703</v>
      </c>
      <c r="G285">
        <v>6</v>
      </c>
      <c r="H285">
        <v>6</v>
      </c>
      <c r="I285" t="s">
        <v>1223</v>
      </c>
      <c r="J285" t="b">
        <v>1</v>
      </c>
      <c r="K285" t="b">
        <v>0</v>
      </c>
      <c r="L285" t="b">
        <v>0</v>
      </c>
      <c r="U285" s="18"/>
      <c r="V285" t="b">
        <f>IF(AND(Table_Trailer_Restock_JSON[[#This Row],[Is Geo Trailer Stock]]=FALSE,Table_Trailer_Restock_JSON[[#This Row],[Is Geo Case Stock]]=FALSE),FALSE,TRUE)</f>
        <v>0</v>
      </c>
    </row>
    <row r="286" spans="1:22" x14ac:dyDescent="0.45">
      <c r="A286">
        <v>285</v>
      </c>
      <c r="B286" t="s">
        <v>704</v>
      </c>
      <c r="E286" t="s">
        <v>702</v>
      </c>
      <c r="F286" t="s">
        <v>706</v>
      </c>
      <c r="G286">
        <v>6</v>
      </c>
      <c r="H286">
        <v>6</v>
      </c>
      <c r="I286" t="s">
        <v>1224</v>
      </c>
      <c r="J286" t="b">
        <v>1</v>
      </c>
      <c r="K286" t="b">
        <v>0</v>
      </c>
      <c r="L286" t="b">
        <v>0</v>
      </c>
      <c r="U286" s="18"/>
      <c r="V286" t="b">
        <f>IF(AND(Table_Trailer_Restock_JSON[[#This Row],[Is Geo Trailer Stock]]=FALSE,Table_Trailer_Restock_JSON[[#This Row],[Is Geo Case Stock]]=FALSE),FALSE,TRUE)</f>
        <v>0</v>
      </c>
    </row>
    <row r="287" spans="1:22" x14ac:dyDescent="0.45">
      <c r="A287">
        <v>286</v>
      </c>
      <c r="B287" t="s">
        <v>707</v>
      </c>
      <c r="E287" t="s">
        <v>391</v>
      </c>
      <c r="F287" t="s">
        <v>708</v>
      </c>
      <c r="G287">
        <v>100</v>
      </c>
      <c r="H287">
        <v>50</v>
      </c>
      <c r="I287" t="s">
        <v>1225</v>
      </c>
      <c r="J287" t="b">
        <v>1</v>
      </c>
      <c r="K287" t="b">
        <v>0</v>
      </c>
      <c r="L287" t="b">
        <v>0</v>
      </c>
      <c r="U287" s="18"/>
      <c r="V287" t="b">
        <f>IF(AND(Table_Trailer_Restock_JSON[[#This Row],[Is Geo Trailer Stock]]=FALSE,Table_Trailer_Restock_JSON[[#This Row],[Is Geo Case Stock]]=FALSE),FALSE,TRUE)</f>
        <v>0</v>
      </c>
    </row>
    <row r="288" spans="1:22" x14ac:dyDescent="0.45">
      <c r="A288">
        <v>287</v>
      </c>
      <c r="B288" t="s">
        <v>709</v>
      </c>
      <c r="E288" t="s">
        <v>391</v>
      </c>
      <c r="F288" t="s">
        <v>710</v>
      </c>
      <c r="G288">
        <v>12</v>
      </c>
      <c r="H288">
        <v>12</v>
      </c>
      <c r="I288" t="s">
        <v>1226</v>
      </c>
      <c r="J288" t="b">
        <v>1</v>
      </c>
      <c r="K288" t="b">
        <v>0</v>
      </c>
      <c r="L288" t="b">
        <v>0</v>
      </c>
      <c r="U288" s="18"/>
      <c r="V288" t="b">
        <f>IF(AND(Table_Trailer_Restock_JSON[[#This Row],[Is Geo Trailer Stock]]=FALSE,Table_Trailer_Restock_JSON[[#This Row],[Is Geo Case Stock]]=FALSE),FALSE,TRUE)</f>
        <v>0</v>
      </c>
    </row>
    <row r="289" spans="1:22" x14ac:dyDescent="0.45">
      <c r="A289">
        <v>288</v>
      </c>
      <c r="B289" t="s">
        <v>711</v>
      </c>
      <c r="E289" t="s">
        <v>29</v>
      </c>
      <c r="F289">
        <v>440546</v>
      </c>
      <c r="G289">
        <v>4</v>
      </c>
      <c r="I289" t="s">
        <v>1227</v>
      </c>
      <c r="J289" t="b">
        <v>1</v>
      </c>
      <c r="K289" t="b">
        <v>0</v>
      </c>
      <c r="L289" t="b">
        <v>0</v>
      </c>
      <c r="U289" s="18"/>
      <c r="V289" t="b">
        <f>IF(AND(Table_Trailer_Restock_JSON[[#This Row],[Is Geo Trailer Stock]]=FALSE,Table_Trailer_Restock_JSON[[#This Row],[Is Geo Case Stock]]=FALSE),FALSE,TRUE)</f>
        <v>0</v>
      </c>
    </row>
    <row r="290" spans="1:22" x14ac:dyDescent="0.45">
      <c r="A290">
        <v>289</v>
      </c>
      <c r="B290" t="s">
        <v>713</v>
      </c>
      <c r="E290" t="s">
        <v>29</v>
      </c>
      <c r="F290">
        <v>175827</v>
      </c>
      <c r="G290">
        <v>4</v>
      </c>
      <c r="I290" t="s">
        <v>1228</v>
      </c>
      <c r="J290" t="b">
        <v>1</v>
      </c>
      <c r="K290" t="b">
        <v>0</v>
      </c>
      <c r="L290" t="b">
        <v>0</v>
      </c>
      <c r="U290" s="18"/>
      <c r="V290" t="b">
        <f>IF(AND(Table_Trailer_Restock_JSON[[#This Row],[Is Geo Trailer Stock]]=FALSE,Table_Trailer_Restock_JSON[[#This Row],[Is Geo Case Stock]]=FALSE),FALSE,TRUE)</f>
        <v>0</v>
      </c>
    </row>
    <row r="291" spans="1:22" x14ac:dyDescent="0.45">
      <c r="A291">
        <v>290</v>
      </c>
      <c r="B291" t="s">
        <v>716</v>
      </c>
      <c r="E291" t="s">
        <v>101</v>
      </c>
      <c r="F291" t="s">
        <v>717</v>
      </c>
      <c r="G291">
        <v>4</v>
      </c>
      <c r="I291" t="s">
        <v>1229</v>
      </c>
      <c r="J291" t="b">
        <v>1</v>
      </c>
      <c r="K291" t="b">
        <v>0</v>
      </c>
      <c r="L291" t="b">
        <v>0</v>
      </c>
      <c r="U291" s="18"/>
      <c r="V291" t="b">
        <f>IF(AND(Table_Trailer_Restock_JSON[[#This Row],[Is Geo Trailer Stock]]=FALSE,Table_Trailer_Restock_JSON[[#This Row],[Is Geo Case Stock]]=FALSE),FALSE,TRUE)</f>
        <v>0</v>
      </c>
    </row>
    <row r="292" spans="1:22" x14ac:dyDescent="0.45">
      <c r="A292">
        <v>291</v>
      </c>
      <c r="B292" t="s">
        <v>718</v>
      </c>
      <c r="E292" t="s">
        <v>40</v>
      </c>
      <c r="F292" t="s">
        <v>720</v>
      </c>
      <c r="G292">
        <v>12</v>
      </c>
      <c r="I292" t="s">
        <v>1230</v>
      </c>
      <c r="J292" t="b">
        <v>1</v>
      </c>
      <c r="K292" t="b">
        <v>0</v>
      </c>
      <c r="L292" t="b">
        <v>0</v>
      </c>
      <c r="U292" s="18"/>
      <c r="V292" t="b">
        <f>IF(AND(Table_Trailer_Restock_JSON[[#This Row],[Is Geo Trailer Stock]]=FALSE,Table_Trailer_Restock_JSON[[#This Row],[Is Geo Case Stock]]=FALSE),FALSE,TRUE)</f>
        <v>0</v>
      </c>
    </row>
    <row r="293" spans="1:22" x14ac:dyDescent="0.45">
      <c r="A293">
        <v>292</v>
      </c>
      <c r="B293" t="s">
        <v>721</v>
      </c>
      <c r="E293" t="s">
        <v>40</v>
      </c>
      <c r="F293">
        <v>447020</v>
      </c>
      <c r="G293">
        <v>4</v>
      </c>
      <c r="H293">
        <v>4</v>
      </c>
      <c r="I293" t="s">
        <v>1231</v>
      </c>
      <c r="J293" t="b">
        <v>1</v>
      </c>
      <c r="K293" t="b">
        <v>0</v>
      </c>
      <c r="L293" t="b">
        <v>0</v>
      </c>
      <c r="U293" s="18"/>
      <c r="V293" t="b">
        <f>IF(AND(Table_Trailer_Restock_JSON[[#This Row],[Is Geo Trailer Stock]]=FALSE,Table_Trailer_Restock_JSON[[#This Row],[Is Geo Case Stock]]=FALSE),FALSE,TRUE)</f>
        <v>0</v>
      </c>
    </row>
    <row r="294" spans="1:22" x14ac:dyDescent="0.45">
      <c r="A294">
        <v>293</v>
      </c>
      <c r="B294" t="s">
        <v>722</v>
      </c>
      <c r="E294" t="s">
        <v>40</v>
      </c>
      <c r="F294" t="s">
        <v>724</v>
      </c>
      <c r="G294">
        <v>4</v>
      </c>
      <c r="H294">
        <v>4</v>
      </c>
      <c r="I294" t="s">
        <v>1232</v>
      </c>
      <c r="J294" t="b">
        <v>1</v>
      </c>
      <c r="K294" t="b">
        <v>0</v>
      </c>
      <c r="L294" t="b">
        <v>0</v>
      </c>
      <c r="U294" s="18"/>
      <c r="V294" t="b">
        <f>IF(AND(Table_Trailer_Restock_JSON[[#This Row],[Is Geo Trailer Stock]]=FALSE,Table_Trailer_Restock_JSON[[#This Row],[Is Geo Case Stock]]=FALSE),FALSE,TRUE)</f>
        <v>0</v>
      </c>
    </row>
    <row r="295" spans="1:22" x14ac:dyDescent="0.45">
      <c r="A295">
        <v>294</v>
      </c>
      <c r="B295" t="s">
        <v>725</v>
      </c>
      <c r="E295" t="s">
        <v>40</v>
      </c>
      <c r="F295" t="s">
        <v>728</v>
      </c>
      <c r="G295">
        <v>3</v>
      </c>
      <c r="H295">
        <v>1</v>
      </c>
      <c r="I295" t="s">
        <v>1233</v>
      </c>
      <c r="J295" t="b">
        <v>1</v>
      </c>
      <c r="K295" t="b">
        <v>0</v>
      </c>
      <c r="L295" t="b">
        <v>0</v>
      </c>
      <c r="U295" s="18"/>
      <c r="V295" t="b">
        <f>IF(AND(Table_Trailer_Restock_JSON[[#This Row],[Is Geo Trailer Stock]]=FALSE,Table_Trailer_Restock_JSON[[#This Row],[Is Geo Case Stock]]=FALSE),FALSE,TRUE)</f>
        <v>0</v>
      </c>
    </row>
    <row r="296" spans="1:22" x14ac:dyDescent="0.45">
      <c r="A296">
        <v>295</v>
      </c>
      <c r="B296" t="s">
        <v>729</v>
      </c>
      <c r="E296" t="s">
        <v>731</v>
      </c>
      <c r="G296">
        <v>1</v>
      </c>
      <c r="I296" t="s">
        <v>1234</v>
      </c>
      <c r="J296" t="b">
        <v>1</v>
      </c>
      <c r="K296" t="b">
        <v>0</v>
      </c>
      <c r="L296" t="b">
        <v>0</v>
      </c>
      <c r="U296" s="18"/>
      <c r="V296" t="b">
        <f>IF(AND(Table_Trailer_Restock_JSON[[#This Row],[Is Geo Trailer Stock]]=FALSE,Table_Trailer_Restock_JSON[[#This Row],[Is Geo Case Stock]]=FALSE),FALSE,TRUE)</f>
        <v>0</v>
      </c>
    </row>
    <row r="297" spans="1:22" x14ac:dyDescent="0.45">
      <c r="A297">
        <v>296</v>
      </c>
      <c r="B297" t="s">
        <v>732</v>
      </c>
      <c r="E297" t="s">
        <v>494</v>
      </c>
      <c r="F297" t="s">
        <v>734</v>
      </c>
      <c r="G297">
        <v>1</v>
      </c>
      <c r="H297" t="s">
        <v>735</v>
      </c>
      <c r="I297" t="s">
        <v>1235</v>
      </c>
      <c r="J297" t="b">
        <v>1</v>
      </c>
      <c r="K297" t="b">
        <v>0</v>
      </c>
      <c r="L297" t="b">
        <v>0</v>
      </c>
      <c r="U297" s="18"/>
      <c r="V297" t="b">
        <f>IF(AND(Table_Trailer_Restock_JSON[[#This Row],[Is Geo Trailer Stock]]=FALSE,Table_Trailer_Restock_JSON[[#This Row],[Is Geo Case Stock]]=FALSE),FALSE,TRUE)</f>
        <v>0</v>
      </c>
    </row>
    <row r="298" spans="1:22" x14ac:dyDescent="0.45">
      <c r="A298">
        <v>297</v>
      </c>
      <c r="B298" t="s">
        <v>736</v>
      </c>
      <c r="E298" t="s">
        <v>494</v>
      </c>
      <c r="F298" t="s">
        <v>738</v>
      </c>
      <c r="G298">
        <v>1</v>
      </c>
      <c r="H298" t="s">
        <v>735</v>
      </c>
      <c r="I298" t="s">
        <v>1236</v>
      </c>
      <c r="J298" t="b">
        <v>1</v>
      </c>
      <c r="K298" t="b">
        <v>0</v>
      </c>
      <c r="L298" t="b">
        <v>0</v>
      </c>
      <c r="U298" s="18"/>
      <c r="V298" t="b">
        <f>IF(AND(Table_Trailer_Restock_JSON[[#This Row],[Is Geo Trailer Stock]]=FALSE,Table_Trailer_Restock_JSON[[#This Row],[Is Geo Case Stock]]=FALSE),FALSE,TRUE)</f>
        <v>0</v>
      </c>
    </row>
    <row r="299" spans="1:22" x14ac:dyDescent="0.45">
      <c r="A299">
        <v>298</v>
      </c>
      <c r="B299" t="s">
        <v>739</v>
      </c>
      <c r="E299" t="s">
        <v>494</v>
      </c>
      <c r="F299" t="s">
        <v>741</v>
      </c>
      <c r="G299">
        <v>1</v>
      </c>
      <c r="H299" t="s">
        <v>735</v>
      </c>
      <c r="I299" t="s">
        <v>1237</v>
      </c>
      <c r="J299" t="b">
        <v>1</v>
      </c>
      <c r="K299" t="b">
        <v>0</v>
      </c>
      <c r="L299" t="b">
        <v>0</v>
      </c>
      <c r="U299" s="18"/>
      <c r="V299" t="b">
        <f>IF(AND(Table_Trailer_Restock_JSON[[#This Row],[Is Geo Trailer Stock]]=FALSE,Table_Trailer_Restock_JSON[[#This Row],[Is Geo Case Stock]]=FALSE),FALSE,TRUE)</f>
        <v>0</v>
      </c>
    </row>
    <row r="300" spans="1:22" x14ac:dyDescent="0.45">
      <c r="A300">
        <v>299</v>
      </c>
      <c r="B300" t="s">
        <v>742</v>
      </c>
      <c r="E300" t="s">
        <v>40</v>
      </c>
      <c r="F300" t="s">
        <v>744</v>
      </c>
      <c r="G300">
        <v>5</v>
      </c>
      <c r="H300">
        <v>5</v>
      </c>
      <c r="I300" t="s">
        <v>1238</v>
      </c>
      <c r="J300" t="b">
        <v>1</v>
      </c>
      <c r="K300" t="b">
        <v>0</v>
      </c>
      <c r="L300" t="b">
        <v>0</v>
      </c>
      <c r="U300" s="18"/>
      <c r="V300" t="b">
        <f>IF(AND(Table_Trailer_Restock_JSON[[#This Row],[Is Geo Trailer Stock]]=FALSE,Table_Trailer_Restock_JSON[[#This Row],[Is Geo Case Stock]]=FALSE),FALSE,TRUE)</f>
        <v>0</v>
      </c>
    </row>
    <row r="301" spans="1:22" x14ac:dyDescent="0.45">
      <c r="A301">
        <v>300</v>
      </c>
      <c r="B301" t="s">
        <v>745</v>
      </c>
      <c r="E301" t="s">
        <v>494</v>
      </c>
      <c r="F301" t="s">
        <v>747</v>
      </c>
      <c r="G301">
        <v>2</v>
      </c>
      <c r="H301">
        <v>2</v>
      </c>
      <c r="I301" t="s">
        <v>1239</v>
      </c>
      <c r="J301" t="b">
        <v>1</v>
      </c>
      <c r="K301" t="b">
        <v>0</v>
      </c>
      <c r="L301" t="b">
        <v>0</v>
      </c>
      <c r="U301" s="18"/>
      <c r="V301" t="b">
        <f>IF(AND(Table_Trailer_Restock_JSON[[#This Row],[Is Geo Trailer Stock]]=FALSE,Table_Trailer_Restock_JSON[[#This Row],[Is Geo Case Stock]]=FALSE),FALSE,TRUE)</f>
        <v>0</v>
      </c>
    </row>
    <row r="302" spans="1:22" x14ac:dyDescent="0.45">
      <c r="A302">
        <v>301</v>
      </c>
      <c r="B302" t="s">
        <v>748</v>
      </c>
      <c r="E302" t="s">
        <v>750</v>
      </c>
      <c r="F302">
        <v>2530001</v>
      </c>
      <c r="G302">
        <v>50</v>
      </c>
      <c r="H302">
        <v>10</v>
      </c>
      <c r="I302" t="s">
        <v>1240</v>
      </c>
      <c r="J302" t="b">
        <v>1</v>
      </c>
      <c r="K302" t="b">
        <v>0</v>
      </c>
      <c r="L302" t="b">
        <v>0</v>
      </c>
      <c r="U302" s="18"/>
      <c r="V302" t="b">
        <f>IF(AND(Table_Trailer_Restock_JSON[[#This Row],[Is Geo Trailer Stock]]=FALSE,Table_Trailer_Restock_JSON[[#This Row],[Is Geo Case Stock]]=FALSE),FALSE,TRUE)</f>
        <v>0</v>
      </c>
    </row>
    <row r="303" spans="1:22" x14ac:dyDescent="0.45">
      <c r="A303">
        <v>302</v>
      </c>
      <c r="B303" t="s">
        <v>751</v>
      </c>
      <c r="E303" t="s">
        <v>750</v>
      </c>
      <c r="F303">
        <v>2530003</v>
      </c>
      <c r="G303">
        <v>50</v>
      </c>
      <c r="H303">
        <v>10</v>
      </c>
      <c r="I303" t="s">
        <v>1241</v>
      </c>
      <c r="J303" t="b">
        <v>1</v>
      </c>
      <c r="K303" t="b">
        <v>0</v>
      </c>
      <c r="L303" t="b">
        <v>0</v>
      </c>
      <c r="U303" s="18"/>
      <c r="V303" t="b">
        <f>IF(AND(Table_Trailer_Restock_JSON[[#This Row],[Is Geo Trailer Stock]]=FALSE,Table_Trailer_Restock_JSON[[#This Row],[Is Geo Case Stock]]=FALSE),FALSE,TRUE)</f>
        <v>0</v>
      </c>
    </row>
    <row r="304" spans="1:22" x14ac:dyDescent="0.45">
      <c r="A304">
        <v>303</v>
      </c>
      <c r="B304" t="s">
        <v>753</v>
      </c>
      <c r="E304" t="s">
        <v>101</v>
      </c>
      <c r="F304">
        <v>2424</v>
      </c>
      <c r="G304">
        <v>6</v>
      </c>
      <c r="H304">
        <v>6</v>
      </c>
      <c r="I304" t="s">
        <v>1242</v>
      </c>
      <c r="J304" t="b">
        <v>1</v>
      </c>
      <c r="K304" t="b">
        <v>0</v>
      </c>
      <c r="L304" t="b">
        <v>0</v>
      </c>
      <c r="U304" s="18"/>
      <c r="V304" t="b">
        <f>IF(AND(Table_Trailer_Restock_JSON[[#This Row],[Is Geo Trailer Stock]]=FALSE,Table_Trailer_Restock_JSON[[#This Row],[Is Geo Case Stock]]=FALSE),FALSE,TRUE)</f>
        <v>0</v>
      </c>
    </row>
    <row r="305" spans="1:22" x14ac:dyDescent="0.45">
      <c r="A305">
        <v>304</v>
      </c>
      <c r="B305" t="s">
        <v>755</v>
      </c>
      <c r="E305" t="s">
        <v>40</v>
      </c>
      <c r="F305" t="s">
        <v>757</v>
      </c>
      <c r="G305">
        <v>6</v>
      </c>
      <c r="H305">
        <v>6</v>
      </c>
      <c r="I305" t="s">
        <v>1243</v>
      </c>
      <c r="J305" t="b">
        <v>1</v>
      </c>
      <c r="K305" t="b">
        <v>0</v>
      </c>
      <c r="L305" t="b">
        <v>0</v>
      </c>
      <c r="U305" s="18"/>
      <c r="V305" t="b">
        <f>IF(AND(Table_Trailer_Restock_JSON[[#This Row],[Is Geo Trailer Stock]]=FALSE,Table_Trailer_Restock_JSON[[#This Row],[Is Geo Case Stock]]=FALSE),FALSE,TRUE)</f>
        <v>0</v>
      </c>
    </row>
    <row r="306" spans="1:22" x14ac:dyDescent="0.45">
      <c r="A306">
        <v>305</v>
      </c>
      <c r="B306" t="s">
        <v>758</v>
      </c>
      <c r="E306" t="s">
        <v>29</v>
      </c>
      <c r="F306" t="s">
        <v>760</v>
      </c>
      <c r="G306">
        <v>12</v>
      </c>
      <c r="H306">
        <v>6</v>
      </c>
      <c r="I306" t="s">
        <v>1244</v>
      </c>
      <c r="J306" t="b">
        <v>1</v>
      </c>
      <c r="K306" t="b">
        <v>0</v>
      </c>
      <c r="L306" t="b">
        <v>0</v>
      </c>
      <c r="U306" s="18"/>
      <c r="V306" t="b">
        <f>IF(AND(Table_Trailer_Restock_JSON[[#This Row],[Is Geo Trailer Stock]]=FALSE,Table_Trailer_Restock_JSON[[#This Row],[Is Geo Case Stock]]=FALSE),FALSE,TRUE)</f>
        <v>0</v>
      </c>
    </row>
    <row r="307" spans="1:22" x14ac:dyDescent="0.45">
      <c r="A307">
        <v>306</v>
      </c>
      <c r="B307" t="s">
        <v>761</v>
      </c>
      <c r="E307" t="s">
        <v>29</v>
      </c>
      <c r="F307" t="s">
        <v>763</v>
      </c>
      <c r="G307">
        <v>12</v>
      </c>
      <c r="H307">
        <v>6</v>
      </c>
      <c r="I307" t="s">
        <v>1245</v>
      </c>
      <c r="J307" t="b">
        <v>1</v>
      </c>
      <c r="K307" t="b">
        <v>0</v>
      </c>
      <c r="L307" t="b">
        <v>0</v>
      </c>
      <c r="U307" s="18"/>
      <c r="V307" t="b">
        <f>IF(AND(Table_Trailer_Restock_JSON[[#This Row],[Is Geo Trailer Stock]]=FALSE,Table_Trailer_Restock_JSON[[#This Row],[Is Geo Case Stock]]=FALSE),FALSE,TRUE)</f>
        <v>0</v>
      </c>
    </row>
    <row r="308" spans="1:22" x14ac:dyDescent="0.45">
      <c r="A308">
        <v>307</v>
      </c>
      <c r="B308" t="s">
        <v>764</v>
      </c>
      <c r="E308" t="s">
        <v>101</v>
      </c>
      <c r="F308" t="s">
        <v>766</v>
      </c>
      <c r="G308">
        <v>12</v>
      </c>
      <c r="I308" t="s">
        <v>1246</v>
      </c>
      <c r="J308" t="b">
        <v>1</v>
      </c>
      <c r="K308" t="b">
        <v>0</v>
      </c>
      <c r="L308" t="b">
        <v>0</v>
      </c>
      <c r="U308" s="18"/>
      <c r="V308" t="b">
        <f>IF(AND(Table_Trailer_Restock_JSON[[#This Row],[Is Geo Trailer Stock]]=FALSE,Table_Trailer_Restock_JSON[[#This Row],[Is Geo Case Stock]]=FALSE),FALSE,TRUE)</f>
        <v>0</v>
      </c>
    </row>
    <row r="309" spans="1:22" x14ac:dyDescent="0.45">
      <c r="A309">
        <v>308</v>
      </c>
      <c r="B309" t="s">
        <v>767</v>
      </c>
      <c r="E309" t="s">
        <v>101</v>
      </c>
      <c r="F309" t="s">
        <v>769</v>
      </c>
      <c r="G309">
        <v>12</v>
      </c>
      <c r="I309" t="s">
        <v>1247</v>
      </c>
      <c r="J309" t="b">
        <v>1</v>
      </c>
      <c r="K309" t="b">
        <v>0</v>
      </c>
      <c r="L309" t="b">
        <v>0</v>
      </c>
      <c r="U309" s="18"/>
      <c r="V309" t="b">
        <f>IF(AND(Table_Trailer_Restock_JSON[[#This Row],[Is Geo Trailer Stock]]=FALSE,Table_Trailer_Restock_JSON[[#This Row],[Is Geo Case Stock]]=FALSE),FALSE,TRUE)</f>
        <v>0</v>
      </c>
    </row>
    <row r="310" spans="1:22" x14ac:dyDescent="0.45">
      <c r="A310">
        <v>309</v>
      </c>
      <c r="B310" t="s">
        <v>770</v>
      </c>
      <c r="E310" t="s">
        <v>101</v>
      </c>
      <c r="F310" t="s">
        <v>771</v>
      </c>
      <c r="G310">
        <v>12</v>
      </c>
      <c r="I310" t="s">
        <v>1248</v>
      </c>
      <c r="J310" t="b">
        <v>1</v>
      </c>
      <c r="K310" t="b">
        <v>0</v>
      </c>
      <c r="L310" t="b">
        <v>0</v>
      </c>
      <c r="U310" s="18"/>
      <c r="V310" t="b">
        <f>IF(AND(Table_Trailer_Restock_JSON[[#This Row],[Is Geo Trailer Stock]]=FALSE,Table_Trailer_Restock_JSON[[#This Row],[Is Geo Case Stock]]=FALSE),FALSE,TRUE)</f>
        <v>0</v>
      </c>
    </row>
    <row r="311" spans="1:22" x14ac:dyDescent="0.45">
      <c r="A311">
        <v>310</v>
      </c>
      <c r="B311" t="s">
        <v>772</v>
      </c>
      <c r="E311" t="s">
        <v>101</v>
      </c>
      <c r="F311">
        <v>7911</v>
      </c>
      <c r="G311" t="s">
        <v>775</v>
      </c>
      <c r="I311" t="s">
        <v>1249</v>
      </c>
      <c r="J311" t="b">
        <v>1</v>
      </c>
      <c r="K311" t="b">
        <v>0</v>
      </c>
      <c r="L311" t="b">
        <v>0</v>
      </c>
      <c r="U311" s="18"/>
      <c r="V311" t="b">
        <f>IF(AND(Table_Trailer_Restock_JSON[[#This Row],[Is Geo Trailer Stock]]=FALSE,Table_Trailer_Restock_JSON[[#This Row],[Is Geo Case Stock]]=FALSE),FALSE,TRUE)</f>
        <v>0</v>
      </c>
    </row>
    <row r="312" spans="1:22" x14ac:dyDescent="0.45">
      <c r="A312">
        <v>311</v>
      </c>
      <c r="B312" t="s">
        <v>776</v>
      </c>
      <c r="E312" t="s">
        <v>312</v>
      </c>
      <c r="F312" t="s">
        <v>306</v>
      </c>
      <c r="G312" t="s">
        <v>779</v>
      </c>
      <c r="I312" t="s">
        <v>1250</v>
      </c>
      <c r="J312" t="b">
        <v>1</v>
      </c>
      <c r="K312" t="b">
        <v>0</v>
      </c>
      <c r="L312" t="b">
        <v>0</v>
      </c>
      <c r="U312" s="18"/>
      <c r="V312" t="b">
        <f>IF(AND(Table_Trailer_Restock_JSON[[#This Row],[Is Geo Trailer Stock]]=FALSE,Table_Trailer_Restock_JSON[[#This Row],[Is Geo Case Stock]]=FALSE),FALSE,TRUE)</f>
        <v>0</v>
      </c>
    </row>
    <row r="313" spans="1:22" x14ac:dyDescent="0.45">
      <c r="A313">
        <v>312</v>
      </c>
      <c r="B313" t="s">
        <v>780</v>
      </c>
      <c r="E313" t="s">
        <v>101</v>
      </c>
      <c r="F313" t="s">
        <v>781</v>
      </c>
      <c r="G313" t="s">
        <v>782</v>
      </c>
      <c r="I313" t="s">
        <v>1251</v>
      </c>
      <c r="J313" t="b">
        <v>1</v>
      </c>
      <c r="K313" t="b">
        <v>0</v>
      </c>
      <c r="L313" t="b">
        <v>0</v>
      </c>
      <c r="U313" s="18"/>
      <c r="V313" t="b">
        <f>IF(AND(Table_Trailer_Restock_JSON[[#This Row],[Is Geo Trailer Stock]]=FALSE,Table_Trailer_Restock_JSON[[#This Row],[Is Geo Case Stock]]=FALSE),FALSE,TRUE)</f>
        <v>0</v>
      </c>
    </row>
    <row r="314" spans="1:22" x14ac:dyDescent="0.45">
      <c r="A314">
        <v>313</v>
      </c>
      <c r="B314" t="s">
        <v>783</v>
      </c>
      <c r="E314" t="s">
        <v>29</v>
      </c>
      <c r="F314">
        <v>944327</v>
      </c>
      <c r="G314">
        <v>3</v>
      </c>
      <c r="I314" t="s">
        <v>1252</v>
      </c>
      <c r="J314" t="b">
        <v>1</v>
      </c>
      <c r="K314" t="b">
        <v>0</v>
      </c>
      <c r="L314" t="b">
        <v>0</v>
      </c>
      <c r="U314" s="18"/>
      <c r="V314" t="b">
        <f>IF(AND(Table_Trailer_Restock_JSON[[#This Row],[Is Geo Trailer Stock]]=FALSE,Table_Trailer_Restock_JSON[[#This Row],[Is Geo Case Stock]]=FALSE),FALSE,TRUE)</f>
        <v>0</v>
      </c>
    </row>
    <row r="315" spans="1:22" x14ac:dyDescent="0.45">
      <c r="A315">
        <v>314</v>
      </c>
      <c r="B315" t="s">
        <v>785</v>
      </c>
      <c r="E315" t="s">
        <v>29</v>
      </c>
      <c r="F315">
        <v>462810</v>
      </c>
      <c r="G315">
        <v>6</v>
      </c>
      <c r="I315" t="s">
        <v>1253</v>
      </c>
      <c r="J315" t="b">
        <v>1</v>
      </c>
      <c r="K315" t="b">
        <v>0</v>
      </c>
      <c r="L315" t="b">
        <v>0</v>
      </c>
      <c r="U315" s="18"/>
      <c r="V315" t="b">
        <f>IF(AND(Table_Trailer_Restock_JSON[[#This Row],[Is Geo Trailer Stock]]=FALSE,Table_Trailer_Restock_JSON[[#This Row],[Is Geo Case Stock]]=FALSE),FALSE,TRUE)</f>
        <v>0</v>
      </c>
    </row>
    <row r="316" spans="1:22" x14ac:dyDescent="0.45">
      <c r="A316">
        <v>315</v>
      </c>
      <c r="B316" t="s">
        <v>787</v>
      </c>
      <c r="E316" t="s">
        <v>312</v>
      </c>
      <c r="F316" t="s">
        <v>306</v>
      </c>
      <c r="G316">
        <v>10</v>
      </c>
      <c r="I316" t="s">
        <v>1254</v>
      </c>
      <c r="J316" t="b">
        <v>1</v>
      </c>
      <c r="K316" t="b">
        <v>0</v>
      </c>
      <c r="L316" t="b">
        <v>0</v>
      </c>
      <c r="U316" s="18"/>
      <c r="V316" t="b">
        <f>IF(AND(Table_Trailer_Restock_JSON[[#This Row],[Is Geo Trailer Stock]]=FALSE,Table_Trailer_Restock_JSON[[#This Row],[Is Geo Case Stock]]=FALSE),FALSE,TRUE)</f>
        <v>0</v>
      </c>
    </row>
    <row r="317" spans="1:22" x14ac:dyDescent="0.45">
      <c r="A317">
        <v>316</v>
      </c>
      <c r="B317" t="s">
        <v>788</v>
      </c>
      <c r="E317" t="s">
        <v>101</v>
      </c>
      <c r="F317" t="s">
        <v>789</v>
      </c>
      <c r="G317">
        <v>20</v>
      </c>
      <c r="I317" t="s">
        <v>1255</v>
      </c>
      <c r="J317" t="b">
        <v>1</v>
      </c>
      <c r="K317" t="b">
        <v>0</v>
      </c>
      <c r="L317" t="b">
        <v>0</v>
      </c>
      <c r="U317" s="18"/>
      <c r="V317" t="b">
        <f>IF(AND(Table_Trailer_Restock_JSON[[#This Row],[Is Geo Trailer Stock]]=FALSE,Table_Trailer_Restock_JSON[[#This Row],[Is Geo Case Stock]]=FALSE),FALSE,TRUE)</f>
        <v>0</v>
      </c>
    </row>
    <row r="318" spans="1:22" x14ac:dyDescent="0.45">
      <c r="A318">
        <v>317</v>
      </c>
      <c r="B318" t="s">
        <v>790</v>
      </c>
      <c r="E318" t="s">
        <v>101</v>
      </c>
      <c r="F318" t="s">
        <v>791</v>
      </c>
      <c r="G318">
        <v>20</v>
      </c>
      <c r="I318" t="s">
        <v>1256</v>
      </c>
      <c r="J318" t="b">
        <v>1</v>
      </c>
      <c r="K318" t="b">
        <v>0</v>
      </c>
      <c r="L318" t="b">
        <v>0</v>
      </c>
      <c r="U318" s="18"/>
      <c r="V318" t="b">
        <f>IF(AND(Table_Trailer_Restock_JSON[[#This Row],[Is Geo Trailer Stock]]=FALSE,Table_Trailer_Restock_JSON[[#This Row],[Is Geo Case Stock]]=FALSE),FALSE,TRUE)</f>
        <v>0</v>
      </c>
    </row>
    <row r="319" spans="1:22" x14ac:dyDescent="0.45">
      <c r="A319">
        <v>318</v>
      </c>
      <c r="B319" t="s">
        <v>792</v>
      </c>
      <c r="E319" t="s">
        <v>101</v>
      </c>
      <c r="F319" t="s">
        <v>793</v>
      </c>
      <c r="G319">
        <v>10</v>
      </c>
      <c r="I319" t="s">
        <v>1257</v>
      </c>
      <c r="J319" t="b">
        <v>1</v>
      </c>
      <c r="K319" t="b">
        <v>0</v>
      </c>
      <c r="L319" t="b">
        <v>0</v>
      </c>
      <c r="U319" s="18"/>
      <c r="V319" t="b">
        <f>IF(AND(Table_Trailer_Restock_JSON[[#This Row],[Is Geo Trailer Stock]]=FALSE,Table_Trailer_Restock_JSON[[#This Row],[Is Geo Case Stock]]=FALSE),FALSE,TRUE)</f>
        <v>0</v>
      </c>
    </row>
    <row r="320" spans="1:22" x14ac:dyDescent="0.45">
      <c r="A320">
        <v>319</v>
      </c>
      <c r="B320" t="s">
        <v>794</v>
      </c>
      <c r="E320" t="s">
        <v>101</v>
      </c>
      <c r="F320" t="s">
        <v>796</v>
      </c>
      <c r="G320">
        <v>2</v>
      </c>
      <c r="I320" t="s">
        <v>1258</v>
      </c>
      <c r="J320" t="b">
        <v>1</v>
      </c>
      <c r="K320" t="b">
        <v>0</v>
      </c>
      <c r="L320" t="b">
        <v>0</v>
      </c>
      <c r="U320" s="18"/>
      <c r="V320" t="b">
        <f>IF(AND(Table_Trailer_Restock_JSON[[#This Row],[Is Geo Trailer Stock]]=FALSE,Table_Trailer_Restock_JSON[[#This Row],[Is Geo Case Stock]]=FALSE),FALSE,TRUE)</f>
        <v>0</v>
      </c>
    </row>
    <row r="321" spans="1:22" x14ac:dyDescent="0.45">
      <c r="A321">
        <v>320</v>
      </c>
      <c r="B321" t="s">
        <v>797</v>
      </c>
      <c r="E321" t="s">
        <v>101</v>
      </c>
      <c r="F321" t="s">
        <v>798</v>
      </c>
      <c r="G321">
        <v>2</v>
      </c>
      <c r="I321" t="s">
        <v>1259</v>
      </c>
      <c r="J321" t="b">
        <v>1</v>
      </c>
      <c r="K321" t="b">
        <v>0</v>
      </c>
      <c r="L321" t="b">
        <v>0</v>
      </c>
      <c r="U321" s="18"/>
      <c r="V321" t="b">
        <f>IF(AND(Table_Trailer_Restock_JSON[[#This Row],[Is Geo Trailer Stock]]=FALSE,Table_Trailer_Restock_JSON[[#This Row],[Is Geo Case Stock]]=FALSE),FALSE,TRUE)</f>
        <v>0</v>
      </c>
    </row>
    <row r="322" spans="1:22" x14ac:dyDescent="0.45">
      <c r="A322">
        <v>321</v>
      </c>
      <c r="B322" t="s">
        <v>799</v>
      </c>
      <c r="E322" t="s">
        <v>101</v>
      </c>
      <c r="F322" t="s">
        <v>800</v>
      </c>
      <c r="G322">
        <v>2</v>
      </c>
      <c r="I322" t="s">
        <v>1260</v>
      </c>
      <c r="J322" t="b">
        <v>1</v>
      </c>
      <c r="K322" t="b">
        <v>0</v>
      </c>
      <c r="L322" t="b">
        <v>0</v>
      </c>
      <c r="U322" s="18"/>
      <c r="V322" t="b">
        <f>IF(AND(Table_Trailer_Restock_JSON[[#This Row],[Is Geo Trailer Stock]]=FALSE,Table_Trailer_Restock_JSON[[#This Row],[Is Geo Case Stock]]=FALSE),FALSE,TRUE)</f>
        <v>0</v>
      </c>
    </row>
    <row r="323" spans="1:22" x14ac:dyDescent="0.45">
      <c r="A323">
        <v>322</v>
      </c>
      <c r="B323" t="s">
        <v>801</v>
      </c>
      <c r="E323" t="s">
        <v>101</v>
      </c>
      <c r="F323" t="s">
        <v>802</v>
      </c>
      <c r="G323">
        <v>2</v>
      </c>
      <c r="I323" t="s">
        <v>1261</v>
      </c>
      <c r="J323" t="b">
        <v>1</v>
      </c>
      <c r="K323" t="b">
        <v>0</v>
      </c>
      <c r="L323" t="b">
        <v>0</v>
      </c>
      <c r="U323" s="18"/>
      <c r="V323" t="b">
        <f>IF(AND(Table_Trailer_Restock_JSON[[#This Row],[Is Geo Trailer Stock]]=FALSE,Table_Trailer_Restock_JSON[[#This Row],[Is Geo Case Stock]]=FALSE),FALSE,TRUE)</f>
        <v>0</v>
      </c>
    </row>
    <row r="324" spans="1:22" x14ac:dyDescent="0.45">
      <c r="A324">
        <v>323</v>
      </c>
      <c r="B324" t="s">
        <v>803</v>
      </c>
      <c r="E324" t="s">
        <v>806</v>
      </c>
      <c r="F324" t="s">
        <v>807</v>
      </c>
      <c r="G324" t="s">
        <v>808</v>
      </c>
      <c r="I324" t="s">
        <v>1262</v>
      </c>
      <c r="J324" t="b">
        <v>1</v>
      </c>
      <c r="K324" t="b">
        <v>0</v>
      </c>
      <c r="L324" t="b">
        <v>0</v>
      </c>
      <c r="U324" s="18"/>
      <c r="V324" t="b">
        <f>IF(AND(Table_Trailer_Restock_JSON[[#This Row],[Is Geo Trailer Stock]]=FALSE,Table_Trailer_Restock_JSON[[#This Row],[Is Geo Case Stock]]=FALSE),FALSE,TRUE)</f>
        <v>0</v>
      </c>
    </row>
    <row r="325" spans="1:22" x14ac:dyDescent="0.45">
      <c r="A325">
        <v>324</v>
      </c>
      <c r="B325" t="s">
        <v>809</v>
      </c>
      <c r="E325" t="s">
        <v>101</v>
      </c>
      <c r="F325" t="s">
        <v>812</v>
      </c>
      <c r="G325" t="s">
        <v>813</v>
      </c>
      <c r="I325" t="s">
        <v>1263</v>
      </c>
      <c r="J325" t="b">
        <v>1</v>
      </c>
      <c r="K325" t="b">
        <v>0</v>
      </c>
      <c r="L325" t="b">
        <v>0</v>
      </c>
      <c r="U325" s="18"/>
      <c r="V325" t="b">
        <f>IF(AND(Table_Trailer_Restock_JSON[[#This Row],[Is Geo Trailer Stock]]=FALSE,Table_Trailer_Restock_JSON[[#This Row],[Is Geo Case Stock]]=FALSE),FALSE,TRUE)</f>
        <v>0</v>
      </c>
    </row>
    <row r="326" spans="1:22" x14ac:dyDescent="0.45">
      <c r="A326">
        <v>325</v>
      </c>
      <c r="B326" t="s">
        <v>815</v>
      </c>
      <c r="E326" t="s">
        <v>312</v>
      </c>
      <c r="F326" t="s">
        <v>306</v>
      </c>
      <c r="G326">
        <v>6</v>
      </c>
      <c r="I326" t="s">
        <v>1264</v>
      </c>
      <c r="J326" t="b">
        <v>1</v>
      </c>
      <c r="K326" t="b">
        <v>0</v>
      </c>
      <c r="L326" t="b">
        <v>0</v>
      </c>
      <c r="U326" s="18"/>
      <c r="V326" t="b">
        <f>IF(AND(Table_Trailer_Restock_JSON[[#This Row],[Is Geo Trailer Stock]]=FALSE,Table_Trailer_Restock_JSON[[#This Row],[Is Geo Case Stock]]=FALSE),FALSE,TRUE)</f>
        <v>0</v>
      </c>
    </row>
    <row r="327" spans="1:22" x14ac:dyDescent="0.45">
      <c r="A327">
        <v>326</v>
      </c>
      <c r="B327" t="s">
        <v>817</v>
      </c>
      <c r="E327" t="s">
        <v>312</v>
      </c>
      <c r="F327" t="s">
        <v>306</v>
      </c>
      <c r="G327" t="s">
        <v>819</v>
      </c>
      <c r="I327" t="s">
        <v>1265</v>
      </c>
      <c r="J327" t="b">
        <v>1</v>
      </c>
      <c r="K327" t="b">
        <v>0</v>
      </c>
      <c r="L327" t="b">
        <v>0</v>
      </c>
      <c r="U327" s="18"/>
      <c r="V327" t="b">
        <f>IF(AND(Table_Trailer_Restock_JSON[[#This Row],[Is Geo Trailer Stock]]=FALSE,Table_Trailer_Restock_JSON[[#This Row],[Is Geo Case Stock]]=FALSE),FALSE,TRUE)</f>
        <v>0</v>
      </c>
    </row>
    <row r="328" spans="1:22" x14ac:dyDescent="0.45">
      <c r="A328">
        <v>327</v>
      </c>
      <c r="B328" t="s">
        <v>820</v>
      </c>
      <c r="E328" t="s">
        <v>101</v>
      </c>
      <c r="F328" t="s">
        <v>822</v>
      </c>
      <c r="G328" t="s">
        <v>823</v>
      </c>
      <c r="I328" t="s">
        <v>1266</v>
      </c>
      <c r="J328" t="b">
        <v>1</v>
      </c>
      <c r="K328" t="b">
        <v>0</v>
      </c>
      <c r="L328" t="b">
        <v>0</v>
      </c>
      <c r="U328" s="18"/>
      <c r="V328" t="b">
        <f>IF(AND(Table_Trailer_Restock_JSON[[#This Row],[Is Geo Trailer Stock]]=FALSE,Table_Trailer_Restock_JSON[[#This Row],[Is Geo Case Stock]]=FALSE),FALSE,TRUE)</f>
        <v>0</v>
      </c>
    </row>
    <row r="329" spans="1:22" x14ac:dyDescent="0.45">
      <c r="A329">
        <v>328</v>
      </c>
      <c r="B329" t="s">
        <v>824</v>
      </c>
      <c r="E329" t="s">
        <v>101</v>
      </c>
      <c r="F329" t="s">
        <v>826</v>
      </c>
      <c r="G329">
        <v>2</v>
      </c>
      <c r="I329" t="s">
        <v>1267</v>
      </c>
      <c r="J329" t="b">
        <v>1</v>
      </c>
      <c r="K329" t="b">
        <v>0</v>
      </c>
      <c r="L329" t="b">
        <v>0</v>
      </c>
      <c r="U329" s="18"/>
      <c r="V329" t="b">
        <f>IF(AND(Table_Trailer_Restock_JSON[[#This Row],[Is Geo Trailer Stock]]=FALSE,Table_Trailer_Restock_JSON[[#This Row],[Is Geo Case Stock]]=FALSE),FALSE,TRUE)</f>
        <v>0</v>
      </c>
    </row>
    <row r="330" spans="1:22" x14ac:dyDescent="0.45">
      <c r="A330">
        <v>329</v>
      </c>
      <c r="B330" t="s">
        <v>827</v>
      </c>
      <c r="E330" t="s">
        <v>101</v>
      </c>
      <c r="F330" t="s">
        <v>828</v>
      </c>
      <c r="G330">
        <v>2</v>
      </c>
      <c r="I330" t="s">
        <v>1268</v>
      </c>
      <c r="J330" t="b">
        <v>1</v>
      </c>
      <c r="K330" t="b">
        <v>0</v>
      </c>
      <c r="L330" t="b">
        <v>0</v>
      </c>
      <c r="U330" s="18"/>
      <c r="V330" t="b">
        <f>IF(AND(Table_Trailer_Restock_JSON[[#This Row],[Is Geo Trailer Stock]]=FALSE,Table_Trailer_Restock_JSON[[#This Row],[Is Geo Case Stock]]=FALSE),FALSE,TRUE)</f>
        <v>0</v>
      </c>
    </row>
    <row r="331" spans="1:22" x14ac:dyDescent="0.45">
      <c r="A331">
        <v>330</v>
      </c>
      <c r="B331" t="s">
        <v>829</v>
      </c>
      <c r="E331" t="s">
        <v>312</v>
      </c>
      <c r="F331" t="s">
        <v>306</v>
      </c>
      <c r="G331">
        <v>6</v>
      </c>
      <c r="I331" t="s">
        <v>1269</v>
      </c>
      <c r="J331" t="b">
        <v>1</v>
      </c>
      <c r="K331" t="b">
        <v>0</v>
      </c>
      <c r="L331" t="b">
        <v>0</v>
      </c>
      <c r="U331" s="18"/>
      <c r="V331" t="b">
        <f>IF(AND(Table_Trailer_Restock_JSON[[#This Row],[Is Geo Trailer Stock]]=FALSE,Table_Trailer_Restock_JSON[[#This Row],[Is Geo Case Stock]]=FALSE),FALSE,TRUE)</f>
        <v>0</v>
      </c>
    </row>
    <row r="332" spans="1:22" x14ac:dyDescent="0.45">
      <c r="A332">
        <v>331</v>
      </c>
      <c r="B332" t="s">
        <v>831</v>
      </c>
      <c r="E332" t="s">
        <v>312</v>
      </c>
      <c r="F332" t="s">
        <v>306</v>
      </c>
      <c r="G332">
        <v>6</v>
      </c>
      <c r="I332" t="s">
        <v>1270</v>
      </c>
      <c r="J332" t="b">
        <v>1</v>
      </c>
      <c r="K332" t="b">
        <v>0</v>
      </c>
      <c r="L332" t="b">
        <v>0</v>
      </c>
      <c r="U332" s="18"/>
      <c r="V332" t="b">
        <f>IF(AND(Table_Trailer_Restock_JSON[[#This Row],[Is Geo Trailer Stock]]=FALSE,Table_Trailer_Restock_JSON[[#This Row],[Is Geo Case Stock]]=FALSE),FALSE,TRUE)</f>
        <v>0</v>
      </c>
    </row>
  </sheetData>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6" r:id="rId3" name="Button 2">
              <controlPr defaultSize="0" print="0" autoFill="0" autoPict="0" macro="[0]!ExportGeothermPartsJSON">
                <anchor moveWithCells="1" sizeWithCells="1">
                  <from>
                    <xdr:col>4</xdr:col>
                    <xdr:colOff>1014413</xdr:colOff>
                    <xdr:row>0</xdr:row>
                    <xdr:rowOff>233363</xdr:rowOff>
                  </from>
                  <to>
                    <xdr:col>5</xdr:col>
                    <xdr:colOff>1181100</xdr:colOff>
                    <xdr:row>0</xdr:row>
                    <xdr:rowOff>561975</xdr:rowOff>
                  </to>
                </anchor>
              </controlPr>
            </control>
          </mc:Choice>
        </mc:AlternateContent>
      </controls>
    </mc:Choice>
  </mc:AlternateContent>
  <tableParts count="1">
    <tablePart r:id="rId4"/>
  </tableParts>
  <extLst>
    <ext xmlns:x15="http://schemas.microsoft.com/office/spreadsheetml/2010/11/main" uri="{3A4CF648-6AED-40f4-86FF-DC5316D8AED3}">
      <x14:slicerList xmlns:x14="http://schemas.microsoft.com/office/spreadsheetml/2009/9/main">
        <x14:slicer r:id="rId5"/>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19188CB-F5F4-4395-85C8-A98806ED915D}">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MASTER INVENTORY</vt:lpstr>
      <vt:lpstr>GEO Trailer Restock</vt:lpstr>
      <vt:lpstr>PIC</vt:lpstr>
      <vt:lpstr>Table_Trailer_Restock_JSON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Mitch Conklin</dc:creator>
  <cp:keywords/>
  <dc:description/>
  <cp:lastModifiedBy>Mitch Conklin</cp:lastModifiedBy>
  <cp:revision/>
  <dcterms:created xsi:type="dcterms:W3CDTF">2015-06-05T18:17:20Z</dcterms:created>
  <dcterms:modified xsi:type="dcterms:W3CDTF">2026-06-22T15:03:41Z</dcterms:modified>
  <cp:category/>
  <cp:contentStatus/>
</cp:coreProperties>
</file>